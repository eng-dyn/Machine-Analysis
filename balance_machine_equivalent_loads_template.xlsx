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hew.cox\Downloads\"/>
    </mc:Choice>
  </mc:AlternateContent>
  <xr:revisionPtr revIDLastSave="0" documentId="13_ncr:1_{61042C60-F0CE-49C7-B649-E29540A7279D}" xr6:coauthVersionLast="47" xr6:coauthVersionMax="47" xr10:uidLastSave="{00000000-0000-0000-0000-000000000000}"/>
  <bookViews>
    <workbookView xWindow="23040" yWindow="0" windowWidth="23040" windowHeight="25320" xr2:uid="{F047320D-890E-4B6E-8EED-E1FD349A3400}"/>
  </bookViews>
  <sheets>
    <sheet name="BI.11.7k.RC01" sheetId="2" r:id="rId1"/>
    <sheet name="Sheet1" sheetId="1" r:id="rId2"/>
  </sheets>
  <externalReferences>
    <externalReference r:id="rId3"/>
  </externalReferences>
  <definedNames>
    <definedName name="a">#REF!</definedName>
    <definedName name="B">#REF!</definedName>
    <definedName name="HTML_CodePage" hidden="1">1252</definedName>
    <definedName name="HTML_Control" hidden="1">{"'Start'!$A$1:$N$29"}</definedName>
    <definedName name="HTML_Description" hidden="1">""</definedName>
    <definedName name="HTML_Email" hidden="1">"aradici@skm.com.au"</definedName>
    <definedName name="HTML_Header" hidden="1">"Start"</definedName>
    <definedName name="HTML_LastUpdate" hidden="1">"4/4/2000"</definedName>
    <definedName name="HTML_LineAfter" hidden="1">FALSE</definedName>
    <definedName name="HTML_LineBefore" hidden="1">FALSE</definedName>
    <definedName name="HTML_Name" hidden="1">"Anthony Radici"</definedName>
    <definedName name="HTML_OBDlg2" hidden="1">TRUE</definedName>
    <definedName name="HTML_OBDlg4" hidden="1">TRUE</definedName>
    <definedName name="HTML_OS" hidden="1">0</definedName>
    <definedName name="HTML_PathFile" hidden="1">"Q:\mine\Aradici\SSHSConn\HTML\MyHTML.htm"</definedName>
    <definedName name="HTML_Title" hidden="1">"start"</definedName>
    <definedName name="Title1">[1]!Data[[#Headers],[Week ]]</definedName>
    <definedName name="to">#REF!</definedName>
    <definedName name="w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39" i="2" l="1"/>
  <c r="N239" i="2" s="1"/>
  <c r="J239" i="2"/>
  <c r="K238" i="2"/>
  <c r="N238" i="2" s="1"/>
  <c r="J238" i="2"/>
  <c r="N237" i="2"/>
  <c r="K155" i="2"/>
  <c r="N155" i="2" s="1"/>
  <c r="I155" i="2"/>
  <c r="K154" i="2"/>
  <c r="N154" i="2" s="1"/>
  <c r="I154" i="2"/>
  <c r="N153" i="2"/>
  <c r="C193" i="2"/>
  <c r="C192" i="2"/>
  <c r="C183" i="2"/>
  <c r="C185" i="2" s="1"/>
  <c r="C179" i="2"/>
  <c r="BW170" i="2"/>
  <c r="CA170" i="2"/>
  <c r="BZ170" i="2"/>
  <c r="BX170" i="2"/>
  <c r="BS170" i="2"/>
  <c r="BR170" i="2"/>
  <c r="BP170" i="2"/>
  <c r="BK170" i="2"/>
  <c r="BJ170" i="2"/>
  <c r="BH170" i="2"/>
  <c r="BC170" i="2"/>
  <c r="BB170" i="2"/>
  <c r="AZ170" i="2"/>
  <c r="AU170" i="2"/>
  <c r="AT170" i="2"/>
  <c r="AR170" i="2"/>
  <c r="AM170" i="2"/>
  <c r="AL170" i="2"/>
  <c r="AJ170" i="2"/>
  <c r="AE170" i="2"/>
  <c r="AD170" i="2"/>
  <c r="AB170" i="2"/>
  <c r="W170" i="2"/>
  <c r="V170" i="2"/>
  <c r="T170" i="2"/>
  <c r="CA168" i="2"/>
  <c r="BZ168" i="2"/>
  <c r="BX168" i="2"/>
  <c r="BS168" i="2"/>
  <c r="BR168" i="2"/>
  <c r="BP168" i="2"/>
  <c r="BK168" i="2"/>
  <c r="BJ168" i="2"/>
  <c r="BH168" i="2"/>
  <c r="BC168" i="2"/>
  <c r="BB168" i="2"/>
  <c r="AZ168" i="2"/>
  <c r="AU168" i="2"/>
  <c r="AT168" i="2"/>
  <c r="AR168" i="2"/>
  <c r="AM168" i="2"/>
  <c r="AL168" i="2"/>
  <c r="AJ168" i="2"/>
  <c r="AE168" i="2"/>
  <c r="AD168" i="2"/>
  <c r="AB168" i="2"/>
  <c r="W168" i="2"/>
  <c r="V168" i="2"/>
  <c r="T168" i="2"/>
  <c r="C112" i="2"/>
  <c r="C119" i="2" s="1"/>
  <c r="C111" i="2"/>
  <c r="C102" i="2"/>
  <c r="C104" i="2" s="1"/>
  <c r="C98" i="2"/>
  <c r="BZ89" i="2"/>
  <c r="BY89" i="2"/>
  <c r="BW89" i="2"/>
  <c r="BR89" i="2"/>
  <c r="BQ89" i="2"/>
  <c r="BO89" i="2"/>
  <c r="BJ89" i="2"/>
  <c r="BI89" i="2"/>
  <c r="BG89" i="2"/>
  <c r="BB89" i="2"/>
  <c r="BA89" i="2"/>
  <c r="AY89" i="2"/>
  <c r="AT89" i="2"/>
  <c r="AS89" i="2"/>
  <c r="AQ89" i="2"/>
  <c r="AL89" i="2"/>
  <c r="AK89" i="2"/>
  <c r="AI89" i="2"/>
  <c r="AD89" i="2"/>
  <c r="AC89" i="2"/>
  <c r="AA89" i="2"/>
  <c r="V89" i="2"/>
  <c r="U89" i="2"/>
  <c r="S89" i="2"/>
  <c r="BZ87" i="2"/>
  <c r="BY87" i="2"/>
  <c r="BW87" i="2"/>
  <c r="BR87" i="2"/>
  <c r="BQ87" i="2"/>
  <c r="BO87" i="2"/>
  <c r="BJ87" i="2"/>
  <c r="BI87" i="2"/>
  <c r="BG87" i="2"/>
  <c r="BB87" i="2"/>
  <c r="BA87" i="2"/>
  <c r="AY87" i="2"/>
  <c r="AT87" i="2"/>
  <c r="AS87" i="2"/>
  <c r="AQ87" i="2"/>
  <c r="AL87" i="2"/>
  <c r="AK87" i="2"/>
  <c r="AI87" i="2"/>
  <c r="AD87" i="2"/>
  <c r="AC87" i="2"/>
  <c r="AA87" i="2"/>
  <c r="V87" i="2"/>
  <c r="U87" i="2"/>
  <c r="S87" i="2"/>
  <c r="C38" i="2"/>
  <c r="K74" i="2" s="1"/>
  <c r="C31" i="2"/>
  <c r="K73" i="2" s="1"/>
  <c r="C29" i="2"/>
  <c r="C30" i="2" s="1"/>
  <c r="C21" i="2"/>
  <c r="C23" i="2" s="1"/>
  <c r="C26" i="2" s="1"/>
  <c r="C17" i="2"/>
  <c r="CD8" i="2"/>
  <c r="CB8" i="2"/>
  <c r="CA8" i="2"/>
  <c r="BZ8" i="2"/>
  <c r="BY8" i="2"/>
  <c r="BX8" i="2"/>
  <c r="BW8" i="2"/>
  <c r="BT8" i="2"/>
  <c r="BS8" i="2"/>
  <c r="BR8" i="2"/>
  <c r="BQ8" i="2"/>
  <c r="BP8" i="2"/>
  <c r="BO8" i="2"/>
  <c r="BL8" i="2"/>
  <c r="BK8" i="2"/>
  <c r="BJ8" i="2"/>
  <c r="BI8" i="2"/>
  <c r="BH8" i="2"/>
  <c r="BG8" i="2"/>
  <c r="BD8" i="2"/>
  <c r="BC8" i="2"/>
  <c r="BB8" i="2"/>
  <c r="BA8" i="2"/>
  <c r="AZ8" i="2"/>
  <c r="AY8" i="2"/>
  <c r="AV8" i="2"/>
  <c r="AU8" i="2"/>
  <c r="AT8" i="2"/>
  <c r="AS8" i="2"/>
  <c r="AR8" i="2"/>
  <c r="AQ8" i="2"/>
  <c r="AP8" i="2"/>
  <c r="AN8" i="2"/>
  <c r="AM8" i="2"/>
  <c r="AL8" i="2"/>
  <c r="AK8" i="2"/>
  <c r="AJ8" i="2"/>
  <c r="AI8" i="2"/>
  <c r="AH8" i="2"/>
  <c r="AG8" i="2"/>
  <c r="AF8" i="2"/>
  <c r="AE8" i="2"/>
  <c r="AD8" i="2"/>
  <c r="AC8" i="2"/>
  <c r="AB8" i="2"/>
  <c r="AA8" i="2"/>
  <c r="Z8" i="2"/>
  <c r="Y8" i="2"/>
  <c r="X8" i="2"/>
  <c r="W8" i="2"/>
  <c r="V8" i="2"/>
  <c r="U8" i="2"/>
  <c r="T8" i="2"/>
  <c r="S8" i="2"/>
  <c r="CD6" i="2"/>
  <c r="CC6" i="2"/>
  <c r="CB6" i="2"/>
  <c r="CA6" i="2"/>
  <c r="BZ6" i="2"/>
  <c r="BY6" i="2"/>
  <c r="BX6" i="2"/>
  <c r="BW6" i="2"/>
  <c r="BV6" i="2"/>
  <c r="BU6" i="2"/>
  <c r="BT6" i="2"/>
  <c r="BS6" i="2"/>
  <c r="BR6" i="2"/>
  <c r="BQ6" i="2"/>
  <c r="BP6" i="2"/>
  <c r="BO6" i="2"/>
  <c r="BN6" i="2"/>
  <c r="BM6" i="2"/>
  <c r="BL6" i="2"/>
  <c r="BK6" i="2"/>
  <c r="BJ6" i="2"/>
  <c r="BI6" i="2"/>
  <c r="BH6" i="2"/>
  <c r="BG6" i="2"/>
  <c r="BF6" i="2"/>
  <c r="BE6" i="2"/>
  <c r="BD6" i="2"/>
  <c r="BC6" i="2"/>
  <c r="BB6" i="2"/>
  <c r="BA6" i="2"/>
  <c r="AZ6" i="2"/>
  <c r="AY6" i="2"/>
  <c r="AX6" i="2"/>
  <c r="AW6" i="2"/>
  <c r="AV6" i="2"/>
  <c r="AU6" i="2"/>
  <c r="AT6" i="2"/>
  <c r="AS6" i="2"/>
  <c r="AR6" i="2"/>
  <c r="AQ6" i="2"/>
  <c r="AP6" i="2"/>
  <c r="AO6" i="2"/>
  <c r="AN6" i="2"/>
  <c r="AM6" i="2"/>
  <c r="AL6" i="2"/>
  <c r="AK6" i="2"/>
  <c r="AJ6" i="2"/>
  <c r="AI6" i="2"/>
  <c r="AH6" i="2"/>
  <c r="AG6" i="2"/>
  <c r="AF6" i="2"/>
  <c r="AE6" i="2"/>
  <c r="AD6" i="2"/>
  <c r="AC6" i="2"/>
  <c r="AB6" i="2"/>
  <c r="AA6" i="2"/>
  <c r="Z6" i="2"/>
  <c r="Y6" i="2"/>
  <c r="X6" i="2"/>
  <c r="W6" i="2"/>
  <c r="V6" i="2"/>
  <c r="U6" i="2"/>
  <c r="T6" i="2"/>
  <c r="S6" i="2"/>
  <c r="C107" i="2" l="1"/>
  <c r="I8" i="2" a="1"/>
  <c r="L67" i="2" s="1"/>
  <c r="C44" i="2"/>
  <c r="I73" i="2"/>
  <c r="N73" i="2" s="1"/>
  <c r="C188" i="2"/>
  <c r="C200" i="2"/>
  <c r="L42" i="2"/>
  <c r="L40" i="2"/>
  <c r="L29" i="2"/>
  <c r="L20" i="2"/>
  <c r="L18" i="2"/>
  <c r="L71" i="2"/>
  <c r="L65" i="2"/>
  <c r="L63" i="2"/>
  <c r="L61" i="2"/>
  <c r="L59" i="2"/>
  <c r="L57" i="2"/>
  <c r="L55" i="2"/>
  <c r="L38" i="2"/>
  <c r="L27" i="2"/>
  <c r="L16" i="2"/>
  <c r="L49" i="2"/>
  <c r="L47" i="2"/>
  <c r="L45" i="2"/>
  <c r="L32" i="2"/>
  <c r="L25" i="2"/>
  <c r="L23" i="2"/>
  <c r="L30" i="2"/>
  <c r="L50" i="2"/>
  <c r="L48" i="2"/>
  <c r="L24" i="2"/>
  <c r="I8" i="2"/>
  <c r="L8" i="2" s="1"/>
  <c r="L31" i="2"/>
  <c r="L64" i="2"/>
  <c r="L17" i="2"/>
  <c r="L12" i="2"/>
  <c r="L58" i="2"/>
  <c r="L44" i="2"/>
  <c r="L37" i="2"/>
  <c r="L33" i="2"/>
  <c r="L56" i="2"/>
  <c r="L11" i="2"/>
  <c r="L52" i="2"/>
  <c r="L43" i="2"/>
  <c r="L39" i="2"/>
  <c r="L26" i="2"/>
  <c r="L14" i="2"/>
  <c r="L9" i="2"/>
  <c r="L46" i="2"/>
  <c r="L66" i="2"/>
  <c r="L60" i="2"/>
  <c r="L41" i="2"/>
  <c r="L28" i="2"/>
  <c r="L15" i="2"/>
  <c r="C125" i="2"/>
  <c r="CD89" i="2"/>
  <c r="BV89" i="2"/>
  <c r="BN89" i="2"/>
  <c r="BF89" i="2"/>
  <c r="AX89" i="2"/>
  <c r="AP89" i="2"/>
  <c r="AH89" i="2"/>
  <c r="Z89" i="2"/>
  <c r="CD87" i="2"/>
  <c r="BV87" i="2"/>
  <c r="BN87" i="2"/>
  <c r="BF87" i="2"/>
  <c r="AX87" i="2"/>
  <c r="AP87" i="2"/>
  <c r="AH87" i="2"/>
  <c r="Z87" i="2"/>
  <c r="CC89" i="2"/>
  <c r="BU89" i="2"/>
  <c r="BM89" i="2"/>
  <c r="BE89" i="2"/>
  <c r="AW89" i="2"/>
  <c r="AO89" i="2"/>
  <c r="AG89" i="2"/>
  <c r="Y89" i="2"/>
  <c r="CC87" i="2"/>
  <c r="BU87" i="2"/>
  <c r="BM87" i="2"/>
  <c r="BE87" i="2"/>
  <c r="AW87" i="2"/>
  <c r="AO87" i="2"/>
  <c r="AG87" i="2"/>
  <c r="Y87" i="2"/>
  <c r="CB89" i="2"/>
  <c r="BT89" i="2"/>
  <c r="BL89" i="2"/>
  <c r="BD89" i="2"/>
  <c r="AV89" i="2"/>
  <c r="AN89" i="2"/>
  <c r="AF89" i="2"/>
  <c r="X89" i="2"/>
  <c r="CB87" i="2"/>
  <c r="BT87" i="2"/>
  <c r="BL87" i="2"/>
  <c r="BD87" i="2"/>
  <c r="AV87" i="2"/>
  <c r="AN87" i="2"/>
  <c r="AF87" i="2"/>
  <c r="X87" i="2"/>
  <c r="CA89" i="2"/>
  <c r="BS89" i="2"/>
  <c r="BK89" i="2"/>
  <c r="BC89" i="2"/>
  <c r="AU89" i="2"/>
  <c r="AM89" i="2"/>
  <c r="AE89" i="2"/>
  <c r="W89" i="2"/>
  <c r="CA87" i="2"/>
  <c r="BS87" i="2"/>
  <c r="BK87" i="2"/>
  <c r="BC87" i="2"/>
  <c r="AU87" i="2"/>
  <c r="AM87" i="2"/>
  <c r="AE87" i="2"/>
  <c r="W87" i="2"/>
  <c r="T87" i="2"/>
  <c r="AB87" i="2"/>
  <c r="AJ87" i="2"/>
  <c r="AR87" i="2"/>
  <c r="AZ87" i="2"/>
  <c r="BH87" i="2"/>
  <c r="BP87" i="2"/>
  <c r="BX87" i="2"/>
  <c r="T89" i="2"/>
  <c r="AB89" i="2"/>
  <c r="AJ89" i="2"/>
  <c r="AR89" i="2"/>
  <c r="AZ89" i="2"/>
  <c r="BH89" i="2"/>
  <c r="BP89" i="2"/>
  <c r="BX89" i="2"/>
  <c r="AO8" i="2"/>
  <c r="AW8" i="2"/>
  <c r="BE8" i="2"/>
  <c r="BM8" i="2"/>
  <c r="BU8" i="2"/>
  <c r="CC8" i="2"/>
  <c r="AX8" i="2"/>
  <c r="BF8" i="2"/>
  <c r="BN8" i="2"/>
  <c r="BV8" i="2"/>
  <c r="U168" i="2"/>
  <c r="AC168" i="2"/>
  <c r="AK168" i="2"/>
  <c r="AS168" i="2"/>
  <c r="BA168" i="2"/>
  <c r="BI168" i="2"/>
  <c r="BQ168" i="2"/>
  <c r="BY168" i="2"/>
  <c r="U170" i="2"/>
  <c r="AC170" i="2"/>
  <c r="AK170" i="2"/>
  <c r="AS170" i="2"/>
  <c r="BA170" i="2"/>
  <c r="BI170" i="2"/>
  <c r="BQ170" i="2"/>
  <c r="BY170" i="2"/>
  <c r="C206" i="2"/>
  <c r="X168" i="2"/>
  <c r="AF168" i="2"/>
  <c r="AN168" i="2"/>
  <c r="AV168" i="2"/>
  <c r="BD168" i="2"/>
  <c r="BL168" i="2"/>
  <c r="BT168" i="2"/>
  <c r="CB168" i="2"/>
  <c r="X170" i="2"/>
  <c r="AF170" i="2"/>
  <c r="AN170" i="2"/>
  <c r="AV170" i="2"/>
  <c r="BD170" i="2"/>
  <c r="BL170" i="2"/>
  <c r="BT170" i="2"/>
  <c r="CB170" i="2"/>
  <c r="Y168" i="2"/>
  <c r="AG168" i="2"/>
  <c r="AO168" i="2"/>
  <c r="AW168" i="2"/>
  <c r="BE168" i="2"/>
  <c r="BM168" i="2"/>
  <c r="BU168" i="2"/>
  <c r="CC168" i="2"/>
  <c r="Y170" i="2"/>
  <c r="AG170" i="2"/>
  <c r="AO170" i="2"/>
  <c r="AW170" i="2"/>
  <c r="BE170" i="2"/>
  <c r="BM170" i="2"/>
  <c r="BU170" i="2"/>
  <c r="CC170" i="2"/>
  <c r="Z168" i="2"/>
  <c r="AH168" i="2"/>
  <c r="AP168" i="2"/>
  <c r="AX168" i="2"/>
  <c r="BF168" i="2"/>
  <c r="BN168" i="2"/>
  <c r="BV168" i="2"/>
  <c r="CD168" i="2"/>
  <c r="Z170" i="2"/>
  <c r="AH170" i="2"/>
  <c r="AP170" i="2"/>
  <c r="AX170" i="2"/>
  <c r="BF170" i="2"/>
  <c r="BN170" i="2"/>
  <c r="BV170" i="2"/>
  <c r="CD170" i="2"/>
  <c r="S168" i="2"/>
  <c r="AA168" i="2"/>
  <c r="AI168" i="2"/>
  <c r="AQ168" i="2"/>
  <c r="AY168" i="2"/>
  <c r="BG168" i="2"/>
  <c r="BO168" i="2"/>
  <c r="BW168" i="2"/>
  <c r="S170" i="2"/>
  <c r="AA170" i="2"/>
  <c r="AI170" i="2"/>
  <c r="AQ170" i="2"/>
  <c r="AY170" i="2"/>
  <c r="BG170" i="2"/>
  <c r="BO170" i="2"/>
  <c r="L13" i="2" l="1"/>
  <c r="L62" i="2"/>
  <c r="L35" i="2"/>
  <c r="L22" i="2"/>
  <c r="L70" i="2"/>
  <c r="L36" i="2"/>
  <c r="L53" i="2"/>
  <c r="L69" i="2"/>
  <c r="L10" i="2"/>
  <c r="L19" i="2"/>
  <c r="L68" i="2"/>
  <c r="L21" i="2"/>
  <c r="L54" i="2"/>
  <c r="L34" i="2"/>
  <c r="L51" i="2"/>
  <c r="I89" i="2" a="1"/>
  <c r="L104" i="2" s="1"/>
  <c r="J8" i="2" a="1"/>
  <c r="K71" i="2" s="1"/>
  <c r="K20" i="2"/>
  <c r="N20" i="2" s="1"/>
  <c r="K59" i="2"/>
  <c r="N59" i="2" s="1"/>
  <c r="K49" i="2"/>
  <c r="N49" i="2" s="1"/>
  <c r="K54" i="2"/>
  <c r="N54" i="2" s="1"/>
  <c r="K24" i="2"/>
  <c r="N24" i="2" s="1"/>
  <c r="K33" i="2"/>
  <c r="N33" i="2" s="1"/>
  <c r="K31" i="2"/>
  <c r="N31" i="2" s="1"/>
  <c r="L108" i="2"/>
  <c r="L97" i="2"/>
  <c r="L119" i="2"/>
  <c r="L144" i="2"/>
  <c r="L142" i="2"/>
  <c r="L130" i="2"/>
  <c r="L126" i="2"/>
  <c r="L111" i="2"/>
  <c r="L100" i="2"/>
  <c r="L139" i="2"/>
  <c r="L135" i="2"/>
  <c r="L131" i="2"/>
  <c r="L101" i="2"/>
  <c r="L91" i="2"/>
  <c r="L99" i="2"/>
  <c r="L90" i="2"/>
  <c r="L114" i="2"/>
  <c r="L118" i="2"/>
  <c r="J89" i="2" a="1"/>
  <c r="J170" i="2" a="1"/>
  <c r="I170" i="2" a="1"/>
  <c r="L92" i="2" l="1"/>
  <c r="L98" i="2"/>
  <c r="M98" i="2" s="1"/>
  <c r="L146" i="2"/>
  <c r="K70" i="2"/>
  <c r="N70" i="2" s="1"/>
  <c r="L137" i="2"/>
  <c r="L122" i="2"/>
  <c r="L128" i="2"/>
  <c r="M128" i="2" s="1"/>
  <c r="N71" i="2"/>
  <c r="M71" i="2"/>
  <c r="L143" i="2"/>
  <c r="M31" i="2"/>
  <c r="L109" i="2"/>
  <c r="M109" i="2" s="1"/>
  <c r="I89" i="2"/>
  <c r="L89" i="2" s="1"/>
  <c r="L107" i="2"/>
  <c r="L127" i="2"/>
  <c r="L151" i="2"/>
  <c r="L117" i="2"/>
  <c r="L140" i="2"/>
  <c r="L106" i="2"/>
  <c r="K21" i="2"/>
  <c r="N21" i="2" s="1"/>
  <c r="K43" i="2"/>
  <c r="N43" i="2" s="1"/>
  <c r="K48" i="2"/>
  <c r="N48" i="2" s="1"/>
  <c r="K52" i="2"/>
  <c r="N52" i="2" s="1"/>
  <c r="K68" i="2"/>
  <c r="N68" i="2" s="1"/>
  <c r="K47" i="2"/>
  <c r="N47" i="2" s="1"/>
  <c r="K57" i="2"/>
  <c r="N57" i="2" s="1"/>
  <c r="K18" i="2"/>
  <c r="N18" i="2" s="1"/>
  <c r="K35" i="2"/>
  <c r="K37" i="2"/>
  <c r="K30" i="2"/>
  <c r="K56" i="2"/>
  <c r="K23" i="2"/>
  <c r="K16" i="2"/>
  <c r="K61" i="2"/>
  <c r="K29" i="2"/>
  <c r="K50" i="2"/>
  <c r="J8" i="2"/>
  <c r="K8" i="2" s="1"/>
  <c r="K10" i="2"/>
  <c r="K58" i="2"/>
  <c r="K25" i="2"/>
  <c r="K27" i="2"/>
  <c r="K63" i="2"/>
  <c r="K40" i="2"/>
  <c r="L129" i="2"/>
  <c r="L110" i="2"/>
  <c r="K13" i="2"/>
  <c r="K65" i="2"/>
  <c r="L120" i="2"/>
  <c r="L95" i="2"/>
  <c r="L148" i="2"/>
  <c r="K46" i="2"/>
  <c r="K32" i="2"/>
  <c r="M24" i="2"/>
  <c r="M20" i="2"/>
  <c r="L103" i="2"/>
  <c r="L124" i="2"/>
  <c r="L105" i="2"/>
  <c r="L145" i="2"/>
  <c r="L102" i="2"/>
  <c r="L134" i="2"/>
  <c r="M134" i="2" s="1"/>
  <c r="L150" i="2"/>
  <c r="L121" i="2"/>
  <c r="K14" i="2"/>
  <c r="K19" i="2"/>
  <c r="K15" i="2"/>
  <c r="K62" i="2"/>
  <c r="K34" i="2"/>
  <c r="K51" i="2"/>
  <c r="K67" i="2"/>
  <c r="K22" i="2"/>
  <c r="L94" i="2"/>
  <c r="L132" i="2"/>
  <c r="K9" i="2"/>
  <c r="K60" i="2"/>
  <c r="K38" i="2"/>
  <c r="M59" i="2"/>
  <c r="L141" i="2"/>
  <c r="L93" i="2"/>
  <c r="L112" i="2"/>
  <c r="M112" i="2" s="1"/>
  <c r="L147" i="2"/>
  <c r="L113" i="2"/>
  <c r="L136" i="2"/>
  <c r="L152" i="2"/>
  <c r="L123" i="2"/>
  <c r="K26" i="2"/>
  <c r="K12" i="2"/>
  <c r="K28" i="2"/>
  <c r="K64" i="2"/>
  <c r="K36" i="2"/>
  <c r="K53" i="2"/>
  <c r="K69" i="2"/>
  <c r="K44" i="2"/>
  <c r="K42" i="2"/>
  <c r="L133" i="2"/>
  <c r="L125" i="2"/>
  <c r="L96" i="2"/>
  <c r="L116" i="2"/>
  <c r="L149" i="2"/>
  <c r="L115" i="2"/>
  <c r="L138" i="2"/>
  <c r="K11" i="2"/>
  <c r="K39" i="2"/>
  <c r="K17" i="2"/>
  <c r="K41" i="2"/>
  <c r="K66" i="2"/>
  <c r="K45" i="2"/>
  <c r="K55" i="2"/>
  <c r="M70" i="2"/>
  <c r="L232" i="2"/>
  <c r="L230" i="2"/>
  <c r="L228" i="2"/>
  <c r="L226" i="2"/>
  <c r="L224" i="2"/>
  <c r="L222" i="2"/>
  <c r="L220" i="2"/>
  <c r="L218" i="2"/>
  <c r="L216" i="2"/>
  <c r="L214" i="2"/>
  <c r="L212" i="2"/>
  <c r="L210" i="2"/>
  <c r="L208" i="2"/>
  <c r="L206" i="2"/>
  <c r="L200" i="2"/>
  <c r="L233" i="2"/>
  <c r="L231" i="2"/>
  <c r="L229" i="2"/>
  <c r="L227" i="2"/>
  <c r="L225" i="2"/>
  <c r="L223" i="2"/>
  <c r="L221" i="2"/>
  <c r="L219" i="2"/>
  <c r="L217" i="2"/>
  <c r="L215" i="2"/>
  <c r="L213" i="2"/>
  <c r="L211" i="2"/>
  <c r="L209" i="2"/>
  <c r="L207" i="2"/>
  <c r="L201" i="2"/>
  <c r="L182" i="2"/>
  <c r="L180" i="2"/>
  <c r="L204" i="2"/>
  <c r="L191" i="2"/>
  <c r="L189" i="2"/>
  <c r="L178" i="2"/>
  <c r="L187" i="2"/>
  <c r="L185" i="2"/>
  <c r="L203" i="2"/>
  <c r="L198" i="2"/>
  <c r="L196" i="2"/>
  <c r="L194" i="2"/>
  <c r="L183" i="2"/>
  <c r="L176" i="2"/>
  <c r="L174" i="2"/>
  <c r="L172" i="2"/>
  <c r="L202" i="2"/>
  <c r="L186" i="2"/>
  <c r="L195" i="2"/>
  <c r="L181" i="2"/>
  <c r="L177" i="2"/>
  <c r="L173" i="2"/>
  <c r="L199" i="2"/>
  <c r="L190" i="2"/>
  <c r="L197" i="2"/>
  <c r="L192" i="2"/>
  <c r="L188" i="2"/>
  <c r="L175" i="2"/>
  <c r="I170" i="2"/>
  <c r="L170" i="2" s="1"/>
  <c r="L205" i="2"/>
  <c r="L193" i="2"/>
  <c r="L184" i="2"/>
  <c r="L171" i="2"/>
  <c r="L179" i="2"/>
  <c r="M49" i="2"/>
  <c r="M54" i="2"/>
  <c r="M48" i="2"/>
  <c r="M114" i="2"/>
  <c r="K125" i="2"/>
  <c r="N125" i="2" s="1"/>
  <c r="K101" i="2"/>
  <c r="N101" i="2" s="1"/>
  <c r="K99" i="2"/>
  <c r="N99" i="2" s="1"/>
  <c r="K123" i="2"/>
  <c r="N123" i="2" s="1"/>
  <c r="K121" i="2"/>
  <c r="N121" i="2" s="1"/>
  <c r="K110" i="2"/>
  <c r="N110" i="2" s="1"/>
  <c r="K108" i="2"/>
  <c r="N108" i="2" s="1"/>
  <c r="K97" i="2"/>
  <c r="N97" i="2" s="1"/>
  <c r="K119" i="2"/>
  <c r="N119" i="2" s="1"/>
  <c r="K106" i="2"/>
  <c r="N106" i="2" s="1"/>
  <c r="K104" i="2"/>
  <c r="N104" i="2" s="1"/>
  <c r="K152" i="2"/>
  <c r="N152" i="2" s="1"/>
  <c r="K150" i="2"/>
  <c r="N150" i="2" s="1"/>
  <c r="K148" i="2"/>
  <c r="N148" i="2" s="1"/>
  <c r="K146" i="2"/>
  <c r="N146" i="2" s="1"/>
  <c r="K144" i="2"/>
  <c r="N144" i="2" s="1"/>
  <c r="K142" i="2"/>
  <c r="N142" i="2" s="1"/>
  <c r="K140" i="2"/>
  <c r="N140" i="2" s="1"/>
  <c r="K138" i="2"/>
  <c r="N138" i="2" s="1"/>
  <c r="K136" i="2"/>
  <c r="N136" i="2" s="1"/>
  <c r="K134" i="2"/>
  <c r="N134" i="2" s="1"/>
  <c r="K132" i="2"/>
  <c r="N132" i="2" s="1"/>
  <c r="K130" i="2"/>
  <c r="N130" i="2" s="1"/>
  <c r="K128" i="2"/>
  <c r="N128" i="2" s="1"/>
  <c r="K126" i="2"/>
  <c r="N126" i="2" s="1"/>
  <c r="K117" i="2"/>
  <c r="N117" i="2" s="1"/>
  <c r="K115" i="2"/>
  <c r="N115" i="2" s="1"/>
  <c r="K113" i="2"/>
  <c r="N113" i="2" s="1"/>
  <c r="K102" i="2"/>
  <c r="N102" i="2" s="1"/>
  <c r="K95" i="2"/>
  <c r="N95" i="2" s="1"/>
  <c r="K93" i="2"/>
  <c r="N93" i="2" s="1"/>
  <c r="K149" i="2"/>
  <c r="N149" i="2" s="1"/>
  <c r="K109" i="2"/>
  <c r="N109" i="2" s="1"/>
  <c r="K143" i="2"/>
  <c r="N143" i="2" s="1"/>
  <c r="K139" i="2"/>
  <c r="N139" i="2" s="1"/>
  <c r="K135" i="2"/>
  <c r="N135" i="2" s="1"/>
  <c r="K131" i="2"/>
  <c r="N131" i="2" s="1"/>
  <c r="K127" i="2"/>
  <c r="N127" i="2" s="1"/>
  <c r="K116" i="2"/>
  <c r="N116" i="2" s="1"/>
  <c r="K112" i="2"/>
  <c r="N112" i="2" s="1"/>
  <c r="K105" i="2"/>
  <c r="N105" i="2" s="1"/>
  <c r="K94" i="2"/>
  <c r="N94" i="2" s="1"/>
  <c r="K147" i="2"/>
  <c r="N147" i="2" s="1"/>
  <c r="K122" i="2"/>
  <c r="N122" i="2" s="1"/>
  <c r="K111" i="2"/>
  <c r="N111" i="2" s="1"/>
  <c r="K100" i="2"/>
  <c r="N100" i="2" s="1"/>
  <c r="K91" i="2"/>
  <c r="N91" i="2" s="1"/>
  <c r="K145" i="2"/>
  <c r="N145" i="2" s="1"/>
  <c r="K103" i="2"/>
  <c r="N103" i="2" s="1"/>
  <c r="K133" i="2"/>
  <c r="N133" i="2" s="1"/>
  <c r="K90" i="2"/>
  <c r="N90" i="2" s="1"/>
  <c r="J89" i="2"/>
  <c r="K89" i="2" s="1"/>
  <c r="N89" i="2" s="1"/>
  <c r="K98" i="2"/>
  <c r="N98" i="2" s="1"/>
  <c r="K141" i="2"/>
  <c r="N141" i="2" s="1"/>
  <c r="K120" i="2"/>
  <c r="N120" i="2" s="1"/>
  <c r="K129" i="2"/>
  <c r="N129" i="2" s="1"/>
  <c r="K151" i="2"/>
  <c r="N151" i="2" s="1"/>
  <c r="K118" i="2"/>
  <c r="N118" i="2" s="1"/>
  <c r="K137" i="2"/>
  <c r="N137" i="2" s="1"/>
  <c r="K107" i="2"/>
  <c r="N107" i="2" s="1"/>
  <c r="K124" i="2"/>
  <c r="N124" i="2" s="1"/>
  <c r="K114" i="2"/>
  <c r="N114" i="2" s="1"/>
  <c r="K96" i="2"/>
  <c r="N96" i="2" s="1"/>
  <c r="K92" i="2"/>
  <c r="N92" i="2" s="1"/>
  <c r="M94" i="2"/>
  <c r="K232" i="2"/>
  <c r="N232" i="2" s="1"/>
  <c r="K230" i="2"/>
  <c r="N230" i="2" s="1"/>
  <c r="K228" i="2"/>
  <c r="N228" i="2" s="1"/>
  <c r="K226" i="2"/>
  <c r="N226" i="2" s="1"/>
  <c r="K224" i="2"/>
  <c r="N224" i="2" s="1"/>
  <c r="K222" i="2"/>
  <c r="N222" i="2" s="1"/>
  <c r="K220" i="2"/>
  <c r="N220" i="2" s="1"/>
  <c r="K218" i="2"/>
  <c r="N218" i="2" s="1"/>
  <c r="K216" i="2"/>
  <c r="N216" i="2" s="1"/>
  <c r="K214" i="2"/>
  <c r="N214" i="2" s="1"/>
  <c r="K212" i="2"/>
  <c r="N212" i="2" s="1"/>
  <c r="K210" i="2"/>
  <c r="N210" i="2" s="1"/>
  <c r="K208" i="2"/>
  <c r="N208" i="2" s="1"/>
  <c r="K204" i="2"/>
  <c r="N204" i="2" s="1"/>
  <c r="K202" i="2"/>
  <c r="N202" i="2" s="1"/>
  <c r="K200" i="2"/>
  <c r="N200" i="2" s="1"/>
  <c r="K219" i="2"/>
  <c r="N219" i="2" s="1"/>
  <c r="K205" i="2"/>
  <c r="N205" i="2" s="1"/>
  <c r="K199" i="2"/>
  <c r="N199" i="2" s="1"/>
  <c r="K197" i="2"/>
  <c r="N197" i="2" s="1"/>
  <c r="K195" i="2"/>
  <c r="N195" i="2" s="1"/>
  <c r="K193" i="2"/>
  <c r="N193" i="2" s="1"/>
  <c r="K184" i="2"/>
  <c r="N184" i="2" s="1"/>
  <c r="K175" i="2"/>
  <c r="N175" i="2" s="1"/>
  <c r="K173" i="2"/>
  <c r="N173" i="2" s="1"/>
  <c r="K171" i="2"/>
  <c r="N171" i="2" s="1"/>
  <c r="K229" i="2"/>
  <c r="N229" i="2" s="1"/>
  <c r="K213" i="2"/>
  <c r="N213" i="2" s="1"/>
  <c r="K201" i="2"/>
  <c r="N201" i="2" s="1"/>
  <c r="K182" i="2"/>
  <c r="N182" i="2" s="1"/>
  <c r="K180" i="2"/>
  <c r="N180" i="2" s="1"/>
  <c r="K223" i="2"/>
  <c r="N223" i="2" s="1"/>
  <c r="K207" i="2"/>
  <c r="N207" i="2" s="1"/>
  <c r="K191" i="2"/>
  <c r="N191" i="2" s="1"/>
  <c r="K189" i="2"/>
  <c r="N189" i="2" s="1"/>
  <c r="K178" i="2"/>
  <c r="N178" i="2" s="1"/>
  <c r="K233" i="2"/>
  <c r="N233" i="2" s="1"/>
  <c r="K217" i="2"/>
  <c r="N217" i="2" s="1"/>
  <c r="K187" i="2"/>
  <c r="N187" i="2" s="1"/>
  <c r="K185" i="2"/>
  <c r="N185" i="2" s="1"/>
  <c r="K231" i="2"/>
  <c r="N231" i="2" s="1"/>
  <c r="K215" i="2"/>
  <c r="N215" i="2" s="1"/>
  <c r="K190" i="2"/>
  <c r="N190" i="2" s="1"/>
  <c r="K188" i="2"/>
  <c r="N188" i="2" s="1"/>
  <c r="K177" i="2"/>
  <c r="N177" i="2" s="1"/>
  <c r="K211" i="2"/>
  <c r="N211" i="2" s="1"/>
  <c r="K225" i="2"/>
  <c r="N225" i="2" s="1"/>
  <c r="K209" i="2"/>
  <c r="N209" i="2" s="1"/>
  <c r="K194" i="2"/>
  <c r="N194" i="2" s="1"/>
  <c r="K186" i="2"/>
  <c r="N186" i="2" s="1"/>
  <c r="K181" i="2"/>
  <c r="N181" i="2" s="1"/>
  <c r="K172" i="2"/>
  <c r="N172" i="2" s="1"/>
  <c r="K221" i="2"/>
  <c r="N221" i="2" s="1"/>
  <c r="K203" i="2"/>
  <c r="N203" i="2" s="1"/>
  <c r="K183" i="2"/>
  <c r="N183" i="2" s="1"/>
  <c r="J170" i="2"/>
  <c r="K170" i="2" s="1"/>
  <c r="K227" i="2"/>
  <c r="N227" i="2" s="1"/>
  <c r="K198" i="2"/>
  <c r="N198" i="2" s="1"/>
  <c r="K174" i="2"/>
  <c r="N174" i="2" s="1"/>
  <c r="K196" i="2"/>
  <c r="N196" i="2" s="1"/>
  <c r="K176" i="2"/>
  <c r="N176" i="2" s="1"/>
  <c r="K206" i="2"/>
  <c r="N206" i="2" s="1"/>
  <c r="K192" i="2"/>
  <c r="N192" i="2" s="1"/>
  <c r="K179" i="2"/>
  <c r="N179" i="2" s="1"/>
  <c r="M68" i="2"/>
  <c r="M33" i="2"/>
  <c r="M124" i="2"/>
  <c r="M145" i="2"/>
  <c r="M102" i="2"/>
  <c r="M150" i="2"/>
  <c r="M121" i="2"/>
  <c r="M43" i="2"/>
  <c r="M141" i="2"/>
  <c r="M147" i="2"/>
  <c r="M113" i="2"/>
  <c r="N170" i="2" l="1"/>
  <c r="M186" i="2"/>
  <c r="M198" i="2"/>
  <c r="M131" i="2"/>
  <c r="M132" i="2"/>
  <c r="M144" i="2"/>
  <c r="M103" i="2"/>
  <c r="M47" i="2"/>
  <c r="M179" i="2"/>
  <c r="M218" i="2"/>
  <c r="M152" i="2"/>
  <c r="M119" i="2"/>
  <c r="M105" i="2"/>
  <c r="M136" i="2"/>
  <c r="M126" i="2"/>
  <c r="M95" i="2"/>
  <c r="M151" i="2"/>
  <c r="M143" i="2"/>
  <c r="M99" i="2"/>
  <c r="M188" i="2"/>
  <c r="M195" i="2"/>
  <c r="M196" i="2"/>
  <c r="M215" i="2"/>
  <c r="M231" i="2"/>
  <c r="M216" i="2"/>
  <c r="M232" i="2"/>
  <c r="N44" i="2"/>
  <c r="M44" i="2"/>
  <c r="N34" i="2"/>
  <c r="M34" i="2"/>
  <c r="N50" i="2"/>
  <c r="M50" i="2"/>
  <c r="N37" i="2"/>
  <c r="M37" i="2"/>
  <c r="M192" i="2"/>
  <c r="M180" i="2"/>
  <c r="N55" i="2"/>
  <c r="M55" i="2"/>
  <c r="N69" i="2"/>
  <c r="M69" i="2"/>
  <c r="N62" i="2"/>
  <c r="M62" i="2"/>
  <c r="N40" i="2"/>
  <c r="M40" i="2"/>
  <c r="N35" i="2"/>
  <c r="M35" i="2"/>
  <c r="N45" i="2"/>
  <c r="M45" i="2"/>
  <c r="N53" i="2"/>
  <c r="M53" i="2"/>
  <c r="N15" i="2"/>
  <c r="M15" i="2"/>
  <c r="N63" i="2"/>
  <c r="M63" i="2"/>
  <c r="N29" i="2"/>
  <c r="M29" i="2"/>
  <c r="M104" i="2"/>
  <c r="N66" i="2"/>
  <c r="M66" i="2"/>
  <c r="N36" i="2"/>
  <c r="M36" i="2"/>
  <c r="N19" i="2"/>
  <c r="M19" i="2"/>
  <c r="N27" i="2"/>
  <c r="M27" i="2"/>
  <c r="N61" i="2"/>
  <c r="M61" i="2"/>
  <c r="M133" i="2"/>
  <c r="N41" i="2"/>
  <c r="M41" i="2"/>
  <c r="N64" i="2"/>
  <c r="M64" i="2"/>
  <c r="N38" i="2"/>
  <c r="M38" i="2"/>
  <c r="N14" i="2"/>
  <c r="M14" i="2"/>
  <c r="N32" i="2"/>
  <c r="M32" i="2"/>
  <c r="N65" i="2"/>
  <c r="M65" i="2"/>
  <c r="N25" i="2"/>
  <c r="M25" i="2"/>
  <c r="N16" i="2"/>
  <c r="M16" i="2"/>
  <c r="M57" i="2"/>
  <c r="M52" i="2"/>
  <c r="M18" i="2"/>
  <c r="N17" i="2"/>
  <c r="M17" i="2"/>
  <c r="N28" i="2"/>
  <c r="M28" i="2"/>
  <c r="N60" i="2"/>
  <c r="M60" i="2"/>
  <c r="N22" i="2"/>
  <c r="M22" i="2"/>
  <c r="N46" i="2"/>
  <c r="M46" i="2"/>
  <c r="N13" i="2"/>
  <c r="M13" i="2"/>
  <c r="N58" i="2"/>
  <c r="M58" i="2"/>
  <c r="N23" i="2"/>
  <c r="M23" i="2"/>
  <c r="M123" i="2"/>
  <c r="N39" i="2"/>
  <c r="M39" i="2"/>
  <c r="N12" i="2"/>
  <c r="M12" i="2"/>
  <c r="N9" i="2"/>
  <c r="M9" i="2"/>
  <c r="N67" i="2"/>
  <c r="M67" i="2"/>
  <c r="N10" i="2"/>
  <c r="M10" i="2"/>
  <c r="N56" i="2"/>
  <c r="M56" i="2"/>
  <c r="M21" i="2"/>
  <c r="N11" i="2"/>
  <c r="M11" i="2"/>
  <c r="N42" i="2"/>
  <c r="M42" i="2"/>
  <c r="N26" i="2"/>
  <c r="M26" i="2"/>
  <c r="N51" i="2"/>
  <c r="M51" i="2"/>
  <c r="N8" i="2"/>
  <c r="M8" i="2"/>
  <c r="N30" i="2"/>
  <c r="M30" i="2"/>
  <c r="M233" i="2"/>
  <c r="M93" i="2"/>
  <c r="M148" i="2"/>
  <c r="M97" i="2"/>
  <c r="M107" i="2"/>
  <c r="M175" i="2"/>
  <c r="M181" i="2"/>
  <c r="M194" i="2"/>
  <c r="M191" i="2"/>
  <c r="M213" i="2"/>
  <c r="M229" i="2"/>
  <c r="M214" i="2"/>
  <c r="M230" i="2"/>
  <c r="M125" i="2"/>
  <c r="M146" i="2"/>
  <c r="M100" i="2"/>
  <c r="M137" i="2"/>
  <c r="M171" i="2"/>
  <c r="M197" i="2"/>
  <c r="M202" i="2"/>
  <c r="M203" i="2"/>
  <c r="M182" i="2"/>
  <c r="M219" i="2"/>
  <c r="M200" i="2"/>
  <c r="M220" i="2"/>
  <c r="M138" i="2"/>
  <c r="M106" i="2"/>
  <c r="M130" i="2"/>
  <c r="M135" i="2"/>
  <c r="M184" i="2"/>
  <c r="M190" i="2"/>
  <c r="M172" i="2"/>
  <c r="M185" i="2"/>
  <c r="M201" i="2"/>
  <c r="M221" i="2"/>
  <c r="M206" i="2"/>
  <c r="M222" i="2"/>
  <c r="M115" i="2"/>
  <c r="M127" i="2"/>
  <c r="M108" i="2"/>
  <c r="M120" i="2"/>
  <c r="M90" i="2"/>
  <c r="M111" i="2"/>
  <c r="M117" i="2"/>
  <c r="M101" i="2"/>
  <c r="M193" i="2"/>
  <c r="M199" i="2"/>
  <c r="M174" i="2"/>
  <c r="M187" i="2"/>
  <c r="M207" i="2"/>
  <c r="M223" i="2"/>
  <c r="M208" i="2"/>
  <c r="M224" i="2"/>
  <c r="M149" i="2"/>
  <c r="M204" i="2"/>
  <c r="M129" i="2"/>
  <c r="M139" i="2"/>
  <c r="M89" i="2"/>
  <c r="M92" i="2"/>
  <c r="M205" i="2"/>
  <c r="M173" i="2"/>
  <c r="M176" i="2"/>
  <c r="M178" i="2"/>
  <c r="M209" i="2"/>
  <c r="M225" i="2"/>
  <c r="M210" i="2"/>
  <c r="M226" i="2"/>
  <c r="M116" i="2"/>
  <c r="M142" i="2"/>
  <c r="M217" i="2"/>
  <c r="M110" i="2"/>
  <c r="M122" i="2"/>
  <c r="M118" i="2"/>
  <c r="M140" i="2"/>
  <c r="M170" i="2"/>
  <c r="M177" i="2"/>
  <c r="M183" i="2"/>
  <c r="M189" i="2"/>
  <c r="M211" i="2"/>
  <c r="M227" i="2"/>
  <c r="M212" i="2"/>
  <c r="M228" i="2"/>
  <c r="M96" i="2"/>
  <c r="M91" i="2"/>
  <c r="N72" i="2" l="1"/>
  <c r="C39" i="2"/>
  <c r="C201" i="2"/>
  <c r="C120" i="2"/>
  <c r="C45" i="2" l="1"/>
  <c r="I74" i="2"/>
  <c r="N74" i="2" s="1"/>
  <c r="C126" i="2"/>
  <c r="C207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<sst xmlns="http://schemas.openxmlformats.org/spreadsheetml/2006/main" count="191" uniqueCount="57">
  <si>
    <t>Equivalent Load &amp; Catman cycle counting template</t>
  </si>
  <si>
    <t xml:space="preserve">Counted </t>
  </si>
  <si>
    <t>F</t>
  </si>
  <si>
    <t>4. Determine Damage and Prep work Determing Equivalent Load</t>
  </si>
  <si>
    <t>3. Convert to span pairs</t>
  </si>
  <si>
    <t>Data Source</t>
  </si>
  <si>
    <t>SCADA</t>
  </si>
  <si>
    <t>Notes</t>
  </si>
  <si>
    <t>Span</t>
  </si>
  <si>
    <t>Count</t>
  </si>
  <si>
    <t>Scaled Count</t>
  </si>
  <si>
    <t>Span^3</t>
  </si>
  <si>
    <t>count*span^3</t>
  </si>
  <si>
    <t>Damage</t>
  </si>
  <si>
    <t>kN</t>
  </si>
  <si>
    <t>-</t>
  </si>
  <si>
    <t>#</t>
  </si>
  <si>
    <t>1. Determine Tonnage Scale Factor</t>
  </si>
  <si>
    <t>Range</t>
  </si>
  <si>
    <t>Service Life</t>
  </si>
  <si>
    <t>hours</t>
  </si>
  <si>
    <t>Design Tons/Hr</t>
  </si>
  <si>
    <t>tph</t>
  </si>
  <si>
    <t>Mean</t>
  </si>
  <si>
    <t>Design Lifetime Tonnage</t>
  </si>
  <si>
    <t>t</t>
  </si>
  <si>
    <t>Elapsed time</t>
  </si>
  <si>
    <t>secs</t>
  </si>
  <si>
    <t>hrs</t>
  </si>
  <si>
    <t>Average Reclaim Rate</t>
  </si>
  <si>
    <t>Tonage Change</t>
  </si>
  <si>
    <t>Tonnage Scale Factor</t>
  </si>
  <si>
    <t>Design F Load</t>
  </si>
  <si>
    <t>Cf.F</t>
  </si>
  <si>
    <t>Design Cycles</t>
  </si>
  <si>
    <r>
      <rPr>
        <b/>
        <sz val="11"/>
        <color theme="1"/>
        <rFont val="Aptos Narrow"/>
        <family val="2"/>
        <scheme val="minor"/>
      </rPr>
      <t xml:space="preserve">5. </t>
    </r>
    <r>
      <rPr>
        <sz val="11"/>
        <color theme="1"/>
        <rFont val="Aptos Narrow"/>
        <family val="2"/>
        <scheme val="minor"/>
      </rPr>
      <t>Equivalent machine load</t>
    </r>
  </si>
  <si>
    <t>Equivalent Cycles</t>
  </si>
  <si>
    <t>Equivalent Cu.U</t>
  </si>
  <si>
    <t xml:space="preserve">6. Cycle Counting Plot </t>
  </si>
  <si>
    <t>DESIGN_LOAD</t>
  </si>
  <si>
    <t>EQUIVALENT_LOAD</t>
  </si>
  <si>
    <t xml:space="preserve">7. Sanity check of damage </t>
  </si>
  <si>
    <t>DMG Comparison</t>
  </si>
  <si>
    <t>cumu damag</t>
  </si>
  <si>
    <t>Design</t>
  </si>
  <si>
    <t>Equiv</t>
  </si>
  <si>
    <t>U</t>
  </si>
  <si>
    <t>S</t>
  </si>
  <si>
    <t>Load</t>
  </si>
  <si>
    <r>
      <rPr>
        <b/>
        <sz val="11"/>
        <color theme="1"/>
        <rFont val="Aptos Narrow"/>
        <family val="2"/>
        <scheme val="minor"/>
      </rPr>
      <t>1a.</t>
    </r>
    <r>
      <rPr>
        <sz val="11"/>
        <color theme="1"/>
        <rFont val="Aptos Narrow"/>
        <family val="2"/>
        <scheme val="minor"/>
      </rPr>
      <t xml:space="preserve"> Design Tonnage</t>
    </r>
  </si>
  <si>
    <r>
      <rPr>
        <b/>
        <sz val="11"/>
        <color theme="1"/>
        <rFont val="Aptos Narrow"/>
        <family val="2"/>
        <scheme val="minor"/>
      </rPr>
      <t>1b.</t>
    </r>
    <r>
      <rPr>
        <sz val="11"/>
        <color theme="1"/>
        <rFont val="Aptos Narrow"/>
        <family val="2"/>
        <scheme val="minor"/>
      </rPr>
      <t xml:space="preserve"> Measurement Period Tonnage</t>
    </r>
  </si>
  <si>
    <r>
      <rPr>
        <b/>
        <sz val="11"/>
        <color theme="1"/>
        <rFont val="Aptos Narrow"/>
        <family val="2"/>
        <scheme val="minor"/>
      </rPr>
      <t>1c.</t>
    </r>
    <r>
      <rPr>
        <sz val="11"/>
        <color theme="1"/>
        <rFont val="Aptos Narrow"/>
        <family val="2"/>
        <scheme val="minor"/>
      </rPr>
      <t xml:space="preserve"> Calculate Tonnage Scale Factor</t>
    </r>
  </si>
  <si>
    <r>
      <t xml:space="preserve">1d. </t>
    </r>
    <r>
      <rPr>
        <sz val="11"/>
        <color theme="1"/>
        <rFont val="Aptos Narrow"/>
        <family val="2"/>
        <scheme val="minor"/>
      </rPr>
      <t>Document Design Load and Cycles</t>
    </r>
  </si>
  <si>
    <t>2. Paste Catman Rainflow Range-Mean Computation Output</t>
  </si>
  <si>
    <t>&lt;Paste Here&gt;</t>
  </si>
  <si>
    <t>DMG sum</t>
  </si>
  <si>
    <t>Note: Select all cells within the below solid border for load/damage histogram plotting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</si>
</sst>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_ ;\-#,##0.0\ "/>
    <numFmt numFmtId="165" formatCode="0.00.E+00"/>
    <numFmt numFmtId="166" formatCode="0.0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7D652"/>
        <bgColor indexed="64"/>
      </patternFill>
    </fill>
    <fill>
      <patternFill patternType="solid">
        <fgColor rgb="FFFFE697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auto="1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6" fillId="0" borderId="0"/>
    <xf numFmtId="164" fontId="6" fillId="4" borderId="10">
      <alignment horizontal="center" vertical="center"/>
      <protection locked="0"/>
    </xf>
  </cellStyleXfs>
  <cellXfs count="67">
    <xf numFmtId="0" fontId="0" fillId="0" borderId="0" xfId="0"/>
    <xf numFmtId="0" fontId="0" fillId="0" borderId="0" xfId="0" applyAlignment="1">
      <alignment horizontal="right"/>
    </xf>
    <xf numFmtId="0" fontId="0" fillId="2" borderId="1" xfId="0" applyFill="1" applyBorder="1"/>
    <xf numFmtId="0" fontId="0" fillId="2" borderId="1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4" fillId="0" borderId="0" xfId="0" applyFont="1"/>
    <xf numFmtId="0" fontId="2" fillId="0" borderId="0" xfId="0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quotePrefix="1"/>
    <xf numFmtId="0" fontId="0" fillId="0" borderId="6" xfId="0" applyBorder="1"/>
    <xf numFmtId="11" fontId="0" fillId="0" borderId="0" xfId="0" applyNumberForma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0" borderId="0" xfId="0" applyFont="1" applyAlignment="1">
      <alignment horizontal="left"/>
    </xf>
    <xf numFmtId="9" fontId="5" fillId="0" borderId="0" xfId="1" applyFont="1" applyAlignment="1">
      <alignment horizontal="left"/>
    </xf>
    <xf numFmtId="0" fontId="0" fillId="2" borderId="2" xfId="0" applyFill="1" applyBorder="1" applyAlignment="1">
      <alignment horizontal="right"/>
    </xf>
    <xf numFmtId="0" fontId="0" fillId="2" borderId="0" xfId="0" applyFill="1"/>
    <xf numFmtId="0" fontId="0" fillId="0" borderId="5" xfId="0" applyBorder="1" applyAlignment="1">
      <alignment horizontal="right"/>
    </xf>
    <xf numFmtId="3" fontId="6" fillId="4" borderId="10" xfId="2" applyNumberFormat="1" applyFill="1" applyBorder="1" applyAlignment="1">
      <alignment horizontal="center" vertical="center"/>
    </xf>
    <xf numFmtId="1" fontId="6" fillId="4" borderId="10" xfId="2" applyNumberFormat="1" applyFill="1" applyBorder="1" applyAlignment="1">
      <alignment horizontal="center" vertical="center"/>
    </xf>
    <xf numFmtId="0" fontId="0" fillId="0" borderId="7" xfId="0" applyBorder="1" applyAlignment="1">
      <alignment horizontal="right"/>
    </xf>
    <xf numFmtId="165" fontId="7" fillId="5" borderId="11" xfId="3" applyNumberFormat="1" applyFont="1" applyFill="1" applyBorder="1">
      <alignment horizontal="center" vertical="center"/>
      <protection locked="0"/>
    </xf>
    <xf numFmtId="0" fontId="8" fillId="0" borderId="6" xfId="0" applyFont="1" applyBorder="1"/>
    <xf numFmtId="166" fontId="0" fillId="0" borderId="10" xfId="0" applyNumberFormat="1" applyBorder="1" applyAlignment="1">
      <alignment horizontal="center" vertical="center"/>
    </xf>
    <xf numFmtId="11" fontId="2" fillId="0" borderId="11" xfId="0" applyNumberFormat="1" applyFont="1" applyBorder="1" applyAlignment="1">
      <alignment horizontal="center" vertical="center"/>
    </xf>
    <xf numFmtId="1" fontId="7" fillId="5" borderId="11" xfId="3" applyNumberFormat="1" applyFont="1" applyFill="1" applyBorder="1">
      <alignment horizontal="center" vertical="center"/>
      <protection locked="0"/>
    </xf>
    <xf numFmtId="0" fontId="9" fillId="0" borderId="0" xfId="0" applyFont="1"/>
    <xf numFmtId="0" fontId="2" fillId="2" borderId="2" xfId="0" applyFont="1" applyFill="1" applyBorder="1" applyAlignment="1">
      <alignment horizontal="right"/>
    </xf>
    <xf numFmtId="166" fontId="6" fillId="4" borderId="12" xfId="2" applyNumberFormat="1" applyFill="1" applyBorder="1" applyAlignment="1">
      <alignment horizontal="center" vertical="center"/>
    </xf>
    <xf numFmtId="3" fontId="6" fillId="4" borderId="13" xfId="2" applyNumberFormat="1" applyFill="1" applyBorder="1" applyAlignment="1">
      <alignment horizontal="center" vertical="center"/>
    </xf>
    <xf numFmtId="0" fontId="0" fillId="0" borderId="14" xfId="0" applyBorder="1" applyAlignment="1">
      <alignment horizontal="right"/>
    </xf>
    <xf numFmtId="1" fontId="0" fillId="0" borderId="10" xfId="0" applyNumberFormat="1" applyBorder="1" applyAlignment="1">
      <alignment horizontal="center" vertical="center"/>
    </xf>
    <xf numFmtId="0" fontId="0" fillId="0" borderId="15" xfId="0" applyBorder="1" applyAlignment="1">
      <alignment horizontal="right"/>
    </xf>
    <xf numFmtId="1" fontId="2" fillId="0" borderId="11" xfId="0" applyNumberFormat="1" applyFont="1" applyBorder="1" applyAlignment="1">
      <alignment horizontal="center" vertical="center"/>
    </xf>
    <xf numFmtId="0" fontId="10" fillId="0" borderId="0" xfId="0" applyFont="1"/>
    <xf numFmtId="0" fontId="10" fillId="0" borderId="3" xfId="0" applyFont="1" applyBorder="1"/>
    <xf numFmtId="0" fontId="10" fillId="0" borderId="4" xfId="0" applyFont="1" applyBorder="1"/>
    <xf numFmtId="1" fontId="11" fillId="0" borderId="0" xfId="0" applyNumberFormat="1" applyFont="1"/>
    <xf numFmtId="9" fontId="11" fillId="0" borderId="0" xfId="1" applyFont="1"/>
    <xf numFmtId="1" fontId="0" fillId="0" borderId="11" xfId="0" applyNumberFormat="1" applyBorder="1" applyAlignment="1">
      <alignment horizontal="center" vertical="center"/>
    </xf>
    <xf numFmtId="11" fontId="0" fillId="0" borderId="8" xfId="0" applyNumberFormat="1" applyBorder="1"/>
    <xf numFmtId="0" fontId="2" fillId="2" borderId="0" xfId="0" applyFont="1" applyFill="1"/>
    <xf numFmtId="0" fontId="0" fillId="3" borderId="2" xfId="0" applyFill="1" applyBorder="1"/>
    <xf numFmtId="0" fontId="0" fillId="0" borderId="0" xfId="0" applyBorder="1"/>
    <xf numFmtId="0" fontId="0" fillId="0" borderId="0" xfId="0" quotePrefix="1" applyBorder="1"/>
    <xf numFmtId="11" fontId="0" fillId="0" borderId="0" xfId="0" applyNumberFormat="1" applyBorder="1"/>
    <xf numFmtId="0" fontId="0" fillId="0" borderId="16" xfId="0" applyBorder="1" applyAlignment="1">
      <alignment horizontal="center" vertical="center" textRotation="90" wrapText="1"/>
    </xf>
    <xf numFmtId="0" fontId="0" fillId="0" borderId="17" xfId="0" applyBorder="1" applyAlignment="1">
      <alignment horizontal="center" vertical="center" textRotation="90" wrapText="1"/>
    </xf>
    <xf numFmtId="0" fontId="0" fillId="0" borderId="17" xfId="0" applyBorder="1"/>
    <xf numFmtId="0" fontId="2" fillId="0" borderId="18" xfId="0" applyFont="1" applyBorder="1"/>
    <xf numFmtId="0" fontId="0" fillId="0" borderId="19" xfId="0" applyBorder="1" applyAlignment="1">
      <alignment horizontal="center" vertical="center" textRotation="90" wrapText="1"/>
    </xf>
    <xf numFmtId="0" fontId="0" fillId="0" borderId="0" xfId="0" applyBorder="1" applyAlignment="1">
      <alignment horizontal="center" vertical="center" textRotation="90" wrapText="1"/>
    </xf>
    <xf numFmtId="166" fontId="0" fillId="0" borderId="0" xfId="0" applyNumberFormat="1" applyBorder="1"/>
    <xf numFmtId="0" fontId="2" fillId="0" borderId="20" xfId="0" applyFont="1" applyBorder="1"/>
    <xf numFmtId="0" fontId="0" fillId="0" borderId="21" xfId="0" applyBorder="1" applyAlignment="1">
      <alignment horizontal="center" vertical="center" textRotation="90" wrapText="1"/>
    </xf>
    <xf numFmtId="0" fontId="0" fillId="0" borderId="22" xfId="0" applyBorder="1" applyAlignment="1">
      <alignment horizontal="center" vertical="center" textRotation="90" wrapText="1"/>
    </xf>
    <xf numFmtId="0" fontId="0" fillId="0" borderId="22" xfId="0" applyBorder="1"/>
    <xf numFmtId="11" fontId="0" fillId="0" borderId="22" xfId="0" applyNumberFormat="1" applyBorder="1"/>
    <xf numFmtId="0" fontId="2" fillId="0" borderId="23" xfId="0" applyFont="1" applyBorder="1"/>
    <xf numFmtId="0" fontId="0" fillId="0" borderId="16" xfId="0" applyBorder="1"/>
    <xf numFmtId="0" fontId="0" fillId="0" borderId="19" xfId="0" applyBorder="1"/>
    <xf numFmtId="0" fontId="0" fillId="0" borderId="21" xfId="0" applyBorder="1"/>
    <xf numFmtId="0" fontId="12" fillId="0" borderId="0" xfId="0" applyFont="1"/>
  </cellXfs>
  <cellStyles count="4">
    <cellStyle name="EDC - Input" xfId="3" xr:uid="{9428F57A-B697-4240-A86A-8187BE10299C}"/>
    <cellStyle name="Normal" xfId="0" builtinId="0"/>
    <cellStyle name="Normal 2" xfId="2" xr:uid="{D0133C8F-B535-4820-BC66-72C913DA474A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251832</xdr:colOff>
      <xdr:row>15</xdr:row>
      <xdr:rowOff>108362</xdr:rowOff>
    </xdr:from>
    <xdr:ext cx="9363914" cy="5267202"/>
    <xdr:pic>
      <xdr:nvPicPr>
        <xdr:cNvPr id="2" name="Picture 1">
          <a:extLst>
            <a:ext uri="{FF2B5EF4-FFF2-40B4-BE49-F238E27FC236}">
              <a16:creationId xmlns:a16="http://schemas.microsoft.com/office/drawing/2014/main" id="{135A25E8-06ED-4EE7-9382-8148437B14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195941" y="3087089"/>
          <a:ext cx="9363914" cy="5267202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oneCellAnchor>
  <xdr:oneCellAnchor>
    <xdr:from>
      <xdr:col>18</xdr:col>
      <xdr:colOff>279541</xdr:colOff>
      <xdr:row>47</xdr:row>
      <xdr:rowOff>25234</xdr:rowOff>
    </xdr:from>
    <xdr:ext cx="9363914" cy="5267201"/>
    <xdr:pic>
      <xdr:nvPicPr>
        <xdr:cNvPr id="21" name="Picture 20">
          <a:extLst>
            <a:ext uri="{FF2B5EF4-FFF2-40B4-BE49-F238E27FC236}">
              <a16:creationId xmlns:a16="http://schemas.microsoft.com/office/drawing/2014/main" id="{D5E86872-427B-4E34-9714-A0EE5BA549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223650" y="8919852"/>
          <a:ext cx="9363914" cy="5267201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oneCellAnchor>
  <xdr:oneCellAnchor>
    <xdr:from>
      <xdr:col>30</xdr:col>
      <xdr:colOff>0</xdr:colOff>
      <xdr:row>16</xdr:row>
      <xdr:rowOff>0</xdr:rowOff>
    </xdr:from>
    <xdr:ext cx="9363914" cy="5267201"/>
    <xdr:pic>
      <xdr:nvPicPr>
        <xdr:cNvPr id="22" name="Picture 21">
          <a:extLst>
            <a:ext uri="{FF2B5EF4-FFF2-40B4-BE49-F238E27FC236}">
              <a16:creationId xmlns:a16="http://schemas.microsoft.com/office/drawing/2014/main" id="{C5FE1919-55E7-4585-9AAC-AB9C280196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7432000" y="3158836"/>
          <a:ext cx="9363914" cy="5267201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oneCellAnchor>
  <xdr:oneCellAnchor>
    <xdr:from>
      <xdr:col>18</xdr:col>
      <xdr:colOff>124691</xdr:colOff>
      <xdr:row>97</xdr:row>
      <xdr:rowOff>69273</xdr:rowOff>
    </xdr:from>
    <xdr:ext cx="9363914" cy="5267202"/>
    <xdr:pic>
      <xdr:nvPicPr>
        <xdr:cNvPr id="23" name="Picture 22">
          <a:extLst>
            <a:ext uri="{FF2B5EF4-FFF2-40B4-BE49-F238E27FC236}">
              <a16:creationId xmlns:a16="http://schemas.microsoft.com/office/drawing/2014/main" id="{ED9B5534-B4D1-4ABA-B437-9B9B55BBC9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068800" y="18592800"/>
          <a:ext cx="9363914" cy="5267202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oneCellAnchor>
  <xdr:oneCellAnchor>
    <xdr:from>
      <xdr:col>18</xdr:col>
      <xdr:colOff>152400</xdr:colOff>
      <xdr:row>128</xdr:row>
      <xdr:rowOff>166254</xdr:rowOff>
    </xdr:from>
    <xdr:ext cx="9363914" cy="5267201"/>
    <xdr:pic>
      <xdr:nvPicPr>
        <xdr:cNvPr id="24" name="Picture 23">
          <a:extLst>
            <a:ext uri="{FF2B5EF4-FFF2-40B4-BE49-F238E27FC236}">
              <a16:creationId xmlns:a16="http://schemas.microsoft.com/office/drawing/2014/main" id="{A78003E8-3D30-4D83-9BCB-9E92C0A2FD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096509" y="24425563"/>
          <a:ext cx="9363914" cy="5267201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oneCellAnchor>
  <xdr:oneCellAnchor>
    <xdr:from>
      <xdr:col>29</xdr:col>
      <xdr:colOff>787259</xdr:colOff>
      <xdr:row>97</xdr:row>
      <xdr:rowOff>141020</xdr:rowOff>
    </xdr:from>
    <xdr:ext cx="9363914" cy="5267201"/>
    <xdr:pic>
      <xdr:nvPicPr>
        <xdr:cNvPr id="25" name="Picture 24">
          <a:extLst>
            <a:ext uri="{FF2B5EF4-FFF2-40B4-BE49-F238E27FC236}">
              <a16:creationId xmlns:a16="http://schemas.microsoft.com/office/drawing/2014/main" id="{FBB36013-FB68-469A-837B-901CCBDF66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7304859" y="18664547"/>
          <a:ext cx="9363914" cy="5267201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oneCellAnchor>
  <xdr:oneCellAnchor>
    <xdr:from>
      <xdr:col>18</xdr:col>
      <xdr:colOff>0</xdr:colOff>
      <xdr:row>178</xdr:row>
      <xdr:rowOff>124691</xdr:rowOff>
    </xdr:from>
    <xdr:ext cx="9363914" cy="5267202"/>
    <xdr:pic>
      <xdr:nvPicPr>
        <xdr:cNvPr id="26" name="Picture 25">
          <a:extLst>
            <a:ext uri="{FF2B5EF4-FFF2-40B4-BE49-F238E27FC236}">
              <a16:creationId xmlns:a16="http://schemas.microsoft.com/office/drawing/2014/main" id="{3273DFB5-044A-4752-ABDE-D3B27D4507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944109" y="34123746"/>
          <a:ext cx="9363914" cy="5267202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oneCellAnchor>
  <xdr:oneCellAnchor>
    <xdr:from>
      <xdr:col>18</xdr:col>
      <xdr:colOff>27709</xdr:colOff>
      <xdr:row>210</xdr:row>
      <xdr:rowOff>41564</xdr:rowOff>
    </xdr:from>
    <xdr:ext cx="9363914" cy="5267201"/>
    <xdr:pic>
      <xdr:nvPicPr>
        <xdr:cNvPr id="27" name="Picture 26">
          <a:extLst>
            <a:ext uri="{FF2B5EF4-FFF2-40B4-BE49-F238E27FC236}">
              <a16:creationId xmlns:a16="http://schemas.microsoft.com/office/drawing/2014/main" id="{571FCC23-6CEA-48EC-8118-3F9DE84273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971818" y="39956509"/>
          <a:ext cx="9363914" cy="5267201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oneCellAnchor>
  <xdr:oneCellAnchor>
    <xdr:from>
      <xdr:col>29</xdr:col>
      <xdr:colOff>662568</xdr:colOff>
      <xdr:row>179</xdr:row>
      <xdr:rowOff>2475</xdr:rowOff>
    </xdr:from>
    <xdr:ext cx="9363914" cy="5267201"/>
    <xdr:pic>
      <xdr:nvPicPr>
        <xdr:cNvPr id="28" name="Picture 27">
          <a:extLst>
            <a:ext uri="{FF2B5EF4-FFF2-40B4-BE49-F238E27FC236}">
              <a16:creationId xmlns:a16="http://schemas.microsoft.com/office/drawing/2014/main" id="{1B208B7D-55E9-4D90-B867-E036C3C824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7180168" y="34195493"/>
          <a:ext cx="9363914" cy="5267201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0_Current_Projects\1879_BHP_RC03_Structural_Model_Development\4.%20Project%20Management\1879-SCH-01%20-%20Cost%20&amp;%20Schedule%20Tracking%20She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 Schedule"/>
      <sheetName val="FE Geometry &amp; Model Forecast"/>
      <sheetName val="SG Forecast"/>
      <sheetName val="FE Analysis Forecast"/>
      <sheetName val="Cost Summary 1879"/>
      <sheetName val="Trend Lines"/>
      <sheetName val="Schedule of Rates (2)"/>
      <sheetName val="1879-SCH-01 - Cost &amp; Schedule 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3A00E-6A1C-409C-8F01-F5BA1841CDB7}">
  <sheetPr codeName="Sheet34"/>
  <dimension ref="A1:CE322"/>
  <sheetViews>
    <sheetView tabSelected="1" zoomScale="55" zoomScaleNormal="55" workbookViewId="0">
      <selection activeCell="I4" sqref="I4"/>
    </sheetView>
  </sheetViews>
  <sheetFormatPr defaultRowHeight="14.4" x14ac:dyDescent="0.3"/>
  <cols>
    <col min="1" max="1" width="9.33203125" bestFit="1" customWidth="1"/>
    <col min="2" max="2" width="42.21875" style="1" customWidth="1"/>
    <col min="3" max="3" width="16" bestFit="1" customWidth="1"/>
    <col min="4" max="4" width="14.44140625" bestFit="1" customWidth="1"/>
    <col min="5" max="5" width="17.5546875" bestFit="1" customWidth="1"/>
    <col min="6" max="6" width="12.77734375" customWidth="1"/>
    <col min="7" max="7" width="16.77734375" bestFit="1" customWidth="1"/>
    <col min="8" max="8" width="9.77734375" bestFit="1" customWidth="1"/>
    <col min="11" max="11" width="15" customWidth="1"/>
    <col min="13" max="13" width="12.44140625" bestFit="1" customWidth="1"/>
    <col min="14" max="14" width="11.77734375" bestFit="1" customWidth="1"/>
    <col min="17" max="25" width="12.21875" bestFit="1" customWidth="1"/>
    <col min="26" max="33" width="13.33203125" bestFit="1" customWidth="1"/>
    <col min="34" max="34" width="15.6640625" customWidth="1"/>
    <col min="35" max="68" width="13.33203125" bestFit="1" customWidth="1"/>
    <col min="69" max="69" width="9.44140625" customWidth="1"/>
    <col min="70" max="70" width="11.88671875" customWidth="1"/>
    <col min="71" max="74" width="5.77734375" bestFit="1" customWidth="1"/>
    <col min="75" max="75" width="4.77734375" bestFit="1" customWidth="1"/>
    <col min="76" max="80" width="5.77734375" bestFit="1" customWidth="1"/>
    <col min="81" max="81" width="3.77734375" bestFit="1" customWidth="1"/>
    <col min="82" max="92" width="5.77734375" bestFit="1" customWidth="1"/>
    <col min="93" max="93" width="3.77734375" bestFit="1" customWidth="1"/>
    <col min="94" max="104" width="5.77734375" bestFit="1" customWidth="1"/>
    <col min="105" max="105" width="3.77734375" bestFit="1" customWidth="1"/>
    <col min="106" max="116" width="5.77734375" bestFit="1" customWidth="1"/>
    <col min="117" max="117" width="3.77734375" bestFit="1" customWidth="1"/>
    <col min="118" max="121" width="5.77734375" bestFit="1" customWidth="1"/>
    <col min="122" max="122" width="3.77734375" bestFit="1" customWidth="1"/>
    <col min="123" max="128" width="5.77734375" bestFit="1" customWidth="1"/>
    <col min="129" max="129" width="3.77734375" bestFit="1" customWidth="1"/>
    <col min="130" max="133" width="5.77734375" bestFit="1" customWidth="1"/>
  </cols>
  <sheetData>
    <row r="1" spans="1:82" s="2" customFormat="1" ht="15" thickBot="1" x14ac:dyDescent="0.35">
      <c r="A1" s="2" t="s">
        <v>0</v>
      </c>
      <c r="B1" s="3"/>
    </row>
    <row r="3" spans="1:82" ht="18" x14ac:dyDescent="0.35">
      <c r="B3" s="4" t="s">
        <v>48</v>
      </c>
      <c r="C3" s="5" t="s">
        <v>2</v>
      </c>
      <c r="I3" s="6" t="s">
        <v>3</v>
      </c>
      <c r="Q3" s="6" t="s">
        <v>4</v>
      </c>
    </row>
    <row r="4" spans="1:82" ht="18.600000000000001" thickBot="1" x14ac:dyDescent="0.4">
      <c r="B4" s="4" t="s">
        <v>5</v>
      </c>
      <c r="C4" s="5" t="s">
        <v>6</v>
      </c>
      <c r="I4" s="66" t="s">
        <v>56</v>
      </c>
    </row>
    <row r="5" spans="1:82" ht="18.600000000000001" thickBot="1" x14ac:dyDescent="0.4">
      <c r="B5" s="4" t="s">
        <v>7</v>
      </c>
      <c r="C5" s="5"/>
      <c r="I5" s="7" t="s">
        <v>8</v>
      </c>
      <c r="J5" s="8" t="s">
        <v>9</v>
      </c>
      <c r="K5" s="8" t="s">
        <v>10</v>
      </c>
      <c r="L5" s="8" t="s">
        <v>11</v>
      </c>
      <c r="M5" s="8" t="s">
        <v>12</v>
      </c>
      <c r="N5" s="9" t="s">
        <v>13</v>
      </c>
    </row>
    <row r="6" spans="1:82" x14ac:dyDescent="0.3">
      <c r="I6" s="10" t="s">
        <v>14</v>
      </c>
      <c r="J6" s="48" t="s">
        <v>15</v>
      </c>
      <c r="K6" s="48" t="s">
        <v>15</v>
      </c>
      <c r="L6" s="48" t="s">
        <v>15</v>
      </c>
      <c r="M6" s="47"/>
      <c r="N6" s="12"/>
      <c r="Q6" s="7" t="s">
        <v>8</v>
      </c>
      <c r="R6" s="8" t="s">
        <v>14</v>
      </c>
      <c r="S6" s="8">
        <f>S15</f>
        <v>0</v>
      </c>
      <c r="T6" s="8">
        <f t="shared" ref="T6:CD6" si="0">T15</f>
        <v>0</v>
      </c>
      <c r="U6" s="8">
        <f t="shared" si="0"/>
        <v>0</v>
      </c>
      <c r="V6" s="8">
        <f t="shared" si="0"/>
        <v>0</v>
      </c>
      <c r="W6" s="8">
        <f t="shared" si="0"/>
        <v>0</v>
      </c>
      <c r="X6" s="8">
        <f t="shared" si="0"/>
        <v>0</v>
      </c>
      <c r="Y6" s="8">
        <f t="shared" si="0"/>
        <v>0</v>
      </c>
      <c r="Z6" s="8">
        <f t="shared" si="0"/>
        <v>0</v>
      </c>
      <c r="AA6" s="8">
        <f t="shared" si="0"/>
        <v>0</v>
      </c>
      <c r="AB6" s="8">
        <f t="shared" si="0"/>
        <v>0</v>
      </c>
      <c r="AC6" s="8">
        <f t="shared" si="0"/>
        <v>0</v>
      </c>
      <c r="AD6" s="8">
        <f t="shared" si="0"/>
        <v>0</v>
      </c>
      <c r="AE6" s="8">
        <f t="shared" si="0"/>
        <v>0</v>
      </c>
      <c r="AF6" s="8">
        <f t="shared" si="0"/>
        <v>0</v>
      </c>
      <c r="AG6" s="8">
        <f t="shared" si="0"/>
        <v>0</v>
      </c>
      <c r="AH6" s="8">
        <f t="shared" si="0"/>
        <v>0</v>
      </c>
      <c r="AI6" s="8">
        <f t="shared" si="0"/>
        <v>0</v>
      </c>
      <c r="AJ6" s="8">
        <f t="shared" si="0"/>
        <v>0</v>
      </c>
      <c r="AK6" s="8">
        <f t="shared" si="0"/>
        <v>0</v>
      </c>
      <c r="AL6" s="8">
        <f t="shared" si="0"/>
        <v>0</v>
      </c>
      <c r="AM6" s="8">
        <f t="shared" si="0"/>
        <v>0</v>
      </c>
      <c r="AN6" s="8">
        <f t="shared" si="0"/>
        <v>0</v>
      </c>
      <c r="AO6" s="8">
        <f t="shared" si="0"/>
        <v>0</v>
      </c>
      <c r="AP6" s="8">
        <f t="shared" si="0"/>
        <v>0</v>
      </c>
      <c r="AQ6" s="8">
        <f t="shared" si="0"/>
        <v>0</v>
      </c>
      <c r="AR6" s="8">
        <f t="shared" si="0"/>
        <v>0</v>
      </c>
      <c r="AS6" s="8">
        <f t="shared" si="0"/>
        <v>0</v>
      </c>
      <c r="AT6" s="8">
        <f t="shared" si="0"/>
        <v>0</v>
      </c>
      <c r="AU6" s="8">
        <f t="shared" si="0"/>
        <v>0</v>
      </c>
      <c r="AV6" s="8">
        <f t="shared" si="0"/>
        <v>0</v>
      </c>
      <c r="AW6" s="8">
        <f t="shared" si="0"/>
        <v>0</v>
      </c>
      <c r="AX6" s="8">
        <f t="shared" si="0"/>
        <v>0</v>
      </c>
      <c r="AY6" s="8">
        <f t="shared" si="0"/>
        <v>0</v>
      </c>
      <c r="AZ6" s="8">
        <f t="shared" si="0"/>
        <v>0</v>
      </c>
      <c r="BA6" s="8">
        <f t="shared" si="0"/>
        <v>0</v>
      </c>
      <c r="BB6" s="8">
        <f t="shared" si="0"/>
        <v>0</v>
      </c>
      <c r="BC6" s="8">
        <f t="shared" si="0"/>
        <v>0</v>
      </c>
      <c r="BD6" s="8">
        <f t="shared" si="0"/>
        <v>0</v>
      </c>
      <c r="BE6" s="8">
        <f t="shared" si="0"/>
        <v>0</v>
      </c>
      <c r="BF6" s="8">
        <f t="shared" si="0"/>
        <v>0</v>
      </c>
      <c r="BG6" s="8">
        <f t="shared" si="0"/>
        <v>0</v>
      </c>
      <c r="BH6" s="8">
        <f t="shared" si="0"/>
        <v>0</v>
      </c>
      <c r="BI6" s="8">
        <f t="shared" si="0"/>
        <v>0</v>
      </c>
      <c r="BJ6" s="8">
        <f t="shared" si="0"/>
        <v>0</v>
      </c>
      <c r="BK6" s="8">
        <f t="shared" si="0"/>
        <v>0</v>
      </c>
      <c r="BL6" s="8">
        <f t="shared" si="0"/>
        <v>0</v>
      </c>
      <c r="BM6" s="8">
        <f t="shared" si="0"/>
        <v>0</v>
      </c>
      <c r="BN6" s="8">
        <f t="shared" si="0"/>
        <v>0</v>
      </c>
      <c r="BO6" s="8">
        <f t="shared" si="0"/>
        <v>0</v>
      </c>
      <c r="BP6" s="8">
        <f t="shared" si="0"/>
        <v>0</v>
      </c>
      <c r="BQ6" s="8">
        <f t="shared" si="0"/>
        <v>0</v>
      </c>
      <c r="BR6" s="8">
        <f t="shared" si="0"/>
        <v>0</v>
      </c>
      <c r="BS6" s="8">
        <f t="shared" si="0"/>
        <v>0</v>
      </c>
      <c r="BT6" s="8">
        <f t="shared" si="0"/>
        <v>0</v>
      </c>
      <c r="BU6" s="8">
        <f t="shared" si="0"/>
        <v>0</v>
      </c>
      <c r="BV6" s="8">
        <f t="shared" si="0"/>
        <v>0</v>
      </c>
      <c r="BW6" s="8">
        <f t="shared" si="0"/>
        <v>0</v>
      </c>
      <c r="BX6" s="8">
        <f t="shared" si="0"/>
        <v>0</v>
      </c>
      <c r="BY6" s="8">
        <f t="shared" si="0"/>
        <v>0</v>
      </c>
      <c r="BZ6" s="8">
        <f t="shared" si="0"/>
        <v>0</v>
      </c>
      <c r="CA6" s="8">
        <f t="shared" si="0"/>
        <v>0</v>
      </c>
      <c r="CB6" s="8">
        <f t="shared" si="0"/>
        <v>0</v>
      </c>
      <c r="CC6" s="8">
        <f t="shared" si="0"/>
        <v>0</v>
      </c>
      <c r="CD6" s="9">
        <f t="shared" si="0"/>
        <v>0</v>
      </c>
    </row>
    <row r="7" spans="1:82" x14ac:dyDescent="0.3">
      <c r="I7" s="10">
        <v>0</v>
      </c>
      <c r="J7" s="47">
        <v>0</v>
      </c>
      <c r="K7" s="49">
        <v>0</v>
      </c>
      <c r="L7" s="47"/>
      <c r="M7" s="47"/>
      <c r="N7" s="12"/>
      <c r="Q7" s="10"/>
      <c r="CD7" s="12"/>
    </row>
    <row r="8" spans="1:82" ht="15" thickBot="1" x14ac:dyDescent="0.35">
      <c r="I8" s="10" cm="1">
        <f t="array" ref="I8:I71">TRANSPOSE(S6:CD6)</f>
        <v>0</v>
      </c>
      <c r="J8" s="47" cm="1">
        <f t="array" ref="J8:J71">TRANSPOSE(S8:CD8)</f>
        <v>0</v>
      </c>
      <c r="K8" s="49">
        <f>J8*$C$26</f>
        <v>0</v>
      </c>
      <c r="L8" s="47">
        <f>I8^3</f>
        <v>0</v>
      </c>
      <c r="M8" s="47">
        <f>L8*K8</f>
        <v>0</v>
      </c>
      <c r="N8" s="12">
        <f>(K8/50000000)*(I8/23)^3</f>
        <v>0</v>
      </c>
      <c r="Q8" s="14" t="s">
        <v>9</v>
      </c>
      <c r="R8" s="15" t="s">
        <v>16</v>
      </c>
      <c r="S8" s="15">
        <f>SUM(S16:S79)</f>
        <v>0</v>
      </c>
      <c r="T8" s="15">
        <f t="shared" ref="T8:CD8" si="1">SUM(T16:T79)</f>
        <v>0</v>
      </c>
      <c r="U8" s="15">
        <f t="shared" si="1"/>
        <v>0</v>
      </c>
      <c r="V8" s="15">
        <f t="shared" si="1"/>
        <v>0</v>
      </c>
      <c r="W8" s="15">
        <f t="shared" si="1"/>
        <v>0</v>
      </c>
      <c r="X8" s="15">
        <f t="shared" si="1"/>
        <v>0</v>
      </c>
      <c r="Y8" s="15">
        <f t="shared" si="1"/>
        <v>0</v>
      </c>
      <c r="Z8" s="15">
        <f t="shared" si="1"/>
        <v>0</v>
      </c>
      <c r="AA8" s="15">
        <f t="shared" si="1"/>
        <v>0</v>
      </c>
      <c r="AB8" s="15">
        <f t="shared" si="1"/>
        <v>0</v>
      </c>
      <c r="AC8" s="15">
        <f t="shared" si="1"/>
        <v>0</v>
      </c>
      <c r="AD8" s="15">
        <f t="shared" si="1"/>
        <v>0</v>
      </c>
      <c r="AE8" s="15">
        <f t="shared" si="1"/>
        <v>0</v>
      </c>
      <c r="AF8" s="15">
        <f t="shared" si="1"/>
        <v>0</v>
      </c>
      <c r="AG8" s="15">
        <f t="shared" si="1"/>
        <v>0</v>
      </c>
      <c r="AH8" s="15">
        <f t="shared" si="1"/>
        <v>0</v>
      </c>
      <c r="AI8" s="15">
        <f t="shared" si="1"/>
        <v>0</v>
      </c>
      <c r="AJ8" s="15">
        <f t="shared" si="1"/>
        <v>0</v>
      </c>
      <c r="AK8" s="15">
        <f t="shared" si="1"/>
        <v>0</v>
      </c>
      <c r="AL8" s="15">
        <f t="shared" si="1"/>
        <v>0</v>
      </c>
      <c r="AM8" s="15">
        <f t="shared" si="1"/>
        <v>0</v>
      </c>
      <c r="AN8" s="15">
        <f t="shared" si="1"/>
        <v>0</v>
      </c>
      <c r="AO8" s="15">
        <f t="shared" si="1"/>
        <v>0</v>
      </c>
      <c r="AP8" s="15">
        <f t="shared" si="1"/>
        <v>0</v>
      </c>
      <c r="AQ8" s="15">
        <f t="shared" si="1"/>
        <v>0</v>
      </c>
      <c r="AR8" s="15">
        <f t="shared" si="1"/>
        <v>0</v>
      </c>
      <c r="AS8" s="15">
        <f t="shared" si="1"/>
        <v>0</v>
      </c>
      <c r="AT8" s="15">
        <f t="shared" si="1"/>
        <v>0</v>
      </c>
      <c r="AU8" s="15">
        <f t="shared" si="1"/>
        <v>0</v>
      </c>
      <c r="AV8" s="15">
        <f t="shared" si="1"/>
        <v>0</v>
      </c>
      <c r="AW8" s="15">
        <f t="shared" si="1"/>
        <v>0</v>
      </c>
      <c r="AX8" s="15">
        <f t="shared" si="1"/>
        <v>0</v>
      </c>
      <c r="AY8" s="15">
        <f t="shared" si="1"/>
        <v>0</v>
      </c>
      <c r="AZ8" s="15">
        <f t="shared" si="1"/>
        <v>0</v>
      </c>
      <c r="BA8" s="15">
        <f t="shared" si="1"/>
        <v>0</v>
      </c>
      <c r="BB8" s="15">
        <f t="shared" si="1"/>
        <v>0</v>
      </c>
      <c r="BC8" s="15">
        <f t="shared" si="1"/>
        <v>0</v>
      </c>
      <c r="BD8" s="15">
        <f t="shared" si="1"/>
        <v>0</v>
      </c>
      <c r="BE8" s="15">
        <f t="shared" si="1"/>
        <v>0</v>
      </c>
      <c r="BF8" s="15">
        <f t="shared" si="1"/>
        <v>0</v>
      </c>
      <c r="BG8" s="15">
        <f t="shared" si="1"/>
        <v>0</v>
      </c>
      <c r="BH8" s="15">
        <f t="shared" si="1"/>
        <v>0</v>
      </c>
      <c r="BI8" s="15">
        <f t="shared" si="1"/>
        <v>0</v>
      </c>
      <c r="BJ8" s="15">
        <f t="shared" si="1"/>
        <v>0</v>
      </c>
      <c r="BK8" s="15">
        <f t="shared" si="1"/>
        <v>0</v>
      </c>
      <c r="BL8" s="15">
        <f t="shared" si="1"/>
        <v>0</v>
      </c>
      <c r="BM8" s="15">
        <f t="shared" si="1"/>
        <v>0</v>
      </c>
      <c r="BN8" s="15">
        <f t="shared" si="1"/>
        <v>0</v>
      </c>
      <c r="BO8" s="15">
        <f t="shared" si="1"/>
        <v>0</v>
      </c>
      <c r="BP8" s="15">
        <f t="shared" si="1"/>
        <v>0</v>
      </c>
      <c r="BQ8" s="15">
        <f t="shared" si="1"/>
        <v>0</v>
      </c>
      <c r="BR8" s="15">
        <f t="shared" si="1"/>
        <v>0</v>
      </c>
      <c r="BS8" s="15">
        <f t="shared" si="1"/>
        <v>0</v>
      </c>
      <c r="BT8" s="15">
        <f t="shared" si="1"/>
        <v>0</v>
      </c>
      <c r="BU8" s="15">
        <f t="shared" si="1"/>
        <v>0</v>
      </c>
      <c r="BV8" s="15">
        <f t="shared" si="1"/>
        <v>0</v>
      </c>
      <c r="BW8" s="15">
        <f t="shared" si="1"/>
        <v>0</v>
      </c>
      <c r="BX8" s="15">
        <f t="shared" si="1"/>
        <v>0</v>
      </c>
      <c r="BY8" s="15">
        <f t="shared" si="1"/>
        <v>0</v>
      </c>
      <c r="BZ8" s="15">
        <f t="shared" si="1"/>
        <v>0</v>
      </c>
      <c r="CA8" s="15">
        <f t="shared" si="1"/>
        <v>0</v>
      </c>
      <c r="CB8" s="15">
        <f t="shared" si="1"/>
        <v>0</v>
      </c>
      <c r="CC8" s="15">
        <f t="shared" si="1"/>
        <v>0</v>
      </c>
      <c r="CD8" s="16">
        <f t="shared" si="1"/>
        <v>0</v>
      </c>
    </row>
    <row r="9" spans="1:82" x14ac:dyDescent="0.3">
      <c r="B9" s="17" t="s">
        <v>17</v>
      </c>
      <c r="I9" s="10">
        <v>0</v>
      </c>
      <c r="J9" s="47">
        <v>0</v>
      </c>
      <c r="K9" s="49">
        <f t="shared" ref="K9:K71" si="2">J9*$C$26</f>
        <v>0</v>
      </c>
      <c r="L9" s="47">
        <f t="shared" ref="L9:L71" si="3">I9^3</f>
        <v>0</v>
      </c>
      <c r="M9" s="47">
        <f t="shared" ref="M9:M71" si="4">L9*K9</f>
        <v>0</v>
      </c>
      <c r="N9" s="12">
        <f t="shared" ref="N9:N71" si="5">(K9/50000000)*(I9/23)^3</f>
        <v>0</v>
      </c>
    </row>
    <row r="10" spans="1:82" x14ac:dyDescent="0.3">
      <c r="B10"/>
      <c r="I10" s="10">
        <v>0</v>
      </c>
      <c r="J10" s="47">
        <v>0</v>
      </c>
      <c r="K10" s="49">
        <f t="shared" si="2"/>
        <v>0</v>
      </c>
      <c r="L10" s="47">
        <f t="shared" si="3"/>
        <v>0</v>
      </c>
      <c r="M10" s="47">
        <f t="shared" si="4"/>
        <v>0</v>
      </c>
      <c r="N10" s="12">
        <f t="shared" si="5"/>
        <v>0</v>
      </c>
      <c r="O10" s="13"/>
    </row>
    <row r="11" spans="1:82" x14ac:dyDescent="0.3">
      <c r="B11"/>
      <c r="I11" s="10">
        <v>0</v>
      </c>
      <c r="J11" s="47">
        <v>0</v>
      </c>
      <c r="K11" s="49">
        <f t="shared" si="2"/>
        <v>0</v>
      </c>
      <c r="L11" s="47">
        <f t="shared" si="3"/>
        <v>0</v>
      </c>
      <c r="M11" s="47">
        <f t="shared" si="4"/>
        <v>0</v>
      </c>
      <c r="N11" s="12">
        <f t="shared" si="5"/>
        <v>0</v>
      </c>
      <c r="P11" s="18"/>
      <c r="Q11" s="6" t="s">
        <v>53</v>
      </c>
    </row>
    <row r="12" spans="1:82" x14ac:dyDescent="0.3">
      <c r="B12"/>
      <c r="I12" s="10">
        <v>0</v>
      </c>
      <c r="J12" s="47">
        <v>0</v>
      </c>
      <c r="K12" s="49">
        <f t="shared" si="2"/>
        <v>0</v>
      </c>
      <c r="L12" s="47">
        <f t="shared" si="3"/>
        <v>0</v>
      </c>
      <c r="M12" s="47">
        <f t="shared" si="4"/>
        <v>0</v>
      </c>
      <c r="N12" s="12">
        <f t="shared" si="5"/>
        <v>0</v>
      </c>
    </row>
    <row r="13" spans="1:82" ht="15" thickBot="1" x14ac:dyDescent="0.35">
      <c r="B13"/>
      <c r="I13" s="10">
        <v>0</v>
      </c>
      <c r="J13" s="47">
        <v>0</v>
      </c>
      <c r="K13" s="49">
        <f t="shared" si="2"/>
        <v>0</v>
      </c>
      <c r="L13" s="47">
        <f t="shared" si="3"/>
        <v>0</v>
      </c>
      <c r="M13" s="47">
        <f t="shared" si="4"/>
        <v>0</v>
      </c>
      <c r="N13" s="12">
        <f t="shared" si="5"/>
        <v>0</v>
      </c>
      <c r="S13" s="6"/>
    </row>
    <row r="14" spans="1:82" ht="15" thickBot="1" x14ac:dyDescent="0.35">
      <c r="B14" s="19" t="s">
        <v>49</v>
      </c>
      <c r="C14" s="8"/>
      <c r="D14" s="9"/>
      <c r="I14" s="10">
        <v>0</v>
      </c>
      <c r="J14" s="47">
        <v>0</v>
      </c>
      <c r="K14" s="49">
        <f t="shared" si="2"/>
        <v>0</v>
      </c>
      <c r="L14" s="47">
        <f t="shared" si="3"/>
        <v>0</v>
      </c>
      <c r="M14" s="47">
        <f t="shared" si="4"/>
        <v>0</v>
      </c>
      <c r="N14" s="12">
        <f t="shared" si="5"/>
        <v>0</v>
      </c>
      <c r="R14" s="45" t="s">
        <v>18</v>
      </c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0"/>
      <c r="CC14" s="20"/>
      <c r="CD14" s="20"/>
    </row>
    <row r="15" spans="1:82" x14ac:dyDescent="0.3">
      <c r="B15" s="21" t="s">
        <v>19</v>
      </c>
      <c r="C15" s="22">
        <v>100000</v>
      </c>
      <c r="D15" s="12" t="s">
        <v>20</v>
      </c>
      <c r="I15" s="10">
        <v>0</v>
      </c>
      <c r="J15" s="47">
        <v>0</v>
      </c>
      <c r="K15" s="49">
        <f t="shared" si="2"/>
        <v>0</v>
      </c>
      <c r="L15" s="47">
        <f t="shared" si="3"/>
        <v>0</v>
      </c>
      <c r="M15" s="47">
        <f t="shared" si="4"/>
        <v>0</v>
      </c>
      <c r="N15" s="12">
        <f t="shared" si="5"/>
        <v>0</v>
      </c>
      <c r="Q15" s="45" t="s">
        <v>23</v>
      </c>
      <c r="R15" s="46" t="s">
        <v>54</v>
      </c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9"/>
    </row>
    <row r="16" spans="1:82" x14ac:dyDescent="0.3">
      <c r="B16" s="21" t="s">
        <v>21</v>
      </c>
      <c r="C16" s="23">
        <v>10600</v>
      </c>
      <c r="D16" s="12" t="s">
        <v>22</v>
      </c>
      <c r="I16" s="10">
        <v>0</v>
      </c>
      <c r="J16" s="47">
        <v>0</v>
      </c>
      <c r="K16" s="49">
        <f t="shared" si="2"/>
        <v>0</v>
      </c>
      <c r="L16" s="47">
        <f t="shared" si="3"/>
        <v>0</v>
      </c>
      <c r="M16" s="47">
        <f t="shared" si="4"/>
        <v>0</v>
      </c>
      <c r="N16" s="12">
        <f t="shared" si="5"/>
        <v>0</v>
      </c>
      <c r="Q16" s="20"/>
      <c r="R16" s="10"/>
      <c r="CD16" s="12"/>
    </row>
    <row r="17" spans="2:82" ht="15" thickBot="1" x14ac:dyDescent="0.35">
      <c r="B17" s="24" t="s">
        <v>24</v>
      </c>
      <c r="C17" s="25">
        <f>C15*C16</f>
        <v>1060000000</v>
      </c>
      <c r="D17" s="16" t="s">
        <v>25</v>
      </c>
      <c r="I17" s="10">
        <v>0</v>
      </c>
      <c r="J17" s="47">
        <v>0</v>
      </c>
      <c r="K17" s="49">
        <f t="shared" si="2"/>
        <v>0</v>
      </c>
      <c r="L17" s="47">
        <f t="shared" si="3"/>
        <v>0</v>
      </c>
      <c r="M17" s="47">
        <f t="shared" si="4"/>
        <v>0</v>
      </c>
      <c r="N17" s="12">
        <f t="shared" si="5"/>
        <v>0</v>
      </c>
      <c r="Q17" s="20"/>
      <c r="R17" s="10"/>
      <c r="CD17" s="12"/>
    </row>
    <row r="18" spans="2:82" ht="15" thickBot="1" x14ac:dyDescent="0.35">
      <c r="I18" s="10">
        <v>0</v>
      </c>
      <c r="J18" s="47">
        <v>0</v>
      </c>
      <c r="K18" s="49">
        <f t="shared" si="2"/>
        <v>0</v>
      </c>
      <c r="L18" s="47">
        <f t="shared" si="3"/>
        <v>0</v>
      </c>
      <c r="M18" s="47">
        <f t="shared" si="4"/>
        <v>0</v>
      </c>
      <c r="N18" s="12">
        <f t="shared" si="5"/>
        <v>0</v>
      </c>
      <c r="Q18" s="20"/>
      <c r="R18" s="10"/>
      <c r="CD18" s="12"/>
    </row>
    <row r="19" spans="2:82" x14ac:dyDescent="0.3">
      <c r="B19" s="19" t="s">
        <v>50</v>
      </c>
      <c r="C19" s="8"/>
      <c r="D19" s="9"/>
      <c r="I19" s="10">
        <v>0</v>
      </c>
      <c r="J19" s="47">
        <v>0</v>
      </c>
      <c r="K19" s="49">
        <f t="shared" si="2"/>
        <v>0</v>
      </c>
      <c r="L19" s="47">
        <f t="shared" si="3"/>
        <v>0</v>
      </c>
      <c r="M19" s="47">
        <f t="shared" si="4"/>
        <v>0</v>
      </c>
      <c r="N19" s="12">
        <f t="shared" si="5"/>
        <v>0</v>
      </c>
      <c r="Q19" s="20"/>
      <c r="R19" s="10"/>
      <c r="CD19" s="12"/>
    </row>
    <row r="20" spans="2:82" x14ac:dyDescent="0.3">
      <c r="B20" s="21" t="s">
        <v>26</v>
      </c>
      <c r="C20" s="22">
        <v>6706</v>
      </c>
      <c r="D20" s="26" t="s">
        <v>27</v>
      </c>
      <c r="I20" s="10">
        <v>0</v>
      </c>
      <c r="J20" s="47">
        <v>0</v>
      </c>
      <c r="K20" s="49">
        <f t="shared" si="2"/>
        <v>0</v>
      </c>
      <c r="L20" s="47">
        <f t="shared" si="3"/>
        <v>0</v>
      </c>
      <c r="M20" s="47">
        <f t="shared" si="4"/>
        <v>0</v>
      </c>
      <c r="N20" s="12">
        <f t="shared" si="5"/>
        <v>0</v>
      </c>
      <c r="Q20" s="20"/>
      <c r="R20" s="10"/>
      <c r="CD20" s="12"/>
    </row>
    <row r="21" spans="2:82" x14ac:dyDescent="0.3">
      <c r="B21" s="21" t="s">
        <v>26</v>
      </c>
      <c r="C21" s="27">
        <f>C20/(60*60)</f>
        <v>1.8627777777777779</v>
      </c>
      <c r="D21" s="12" t="s">
        <v>28</v>
      </c>
      <c r="I21" s="10">
        <v>0</v>
      </c>
      <c r="J21" s="47">
        <v>0</v>
      </c>
      <c r="K21" s="49">
        <f t="shared" si="2"/>
        <v>0</v>
      </c>
      <c r="L21" s="47">
        <f t="shared" si="3"/>
        <v>0</v>
      </c>
      <c r="M21" s="47">
        <f t="shared" si="4"/>
        <v>0</v>
      </c>
      <c r="N21" s="12">
        <f t="shared" si="5"/>
        <v>0</v>
      </c>
      <c r="Q21" s="20"/>
      <c r="R21" s="10"/>
      <c r="CD21" s="12"/>
    </row>
    <row r="22" spans="2:82" x14ac:dyDescent="0.3">
      <c r="B22" s="21" t="s">
        <v>29</v>
      </c>
      <c r="C22" s="22">
        <v>6994</v>
      </c>
      <c r="D22" s="26" t="s">
        <v>22</v>
      </c>
      <c r="I22" s="10">
        <v>0</v>
      </c>
      <c r="J22" s="47">
        <v>0</v>
      </c>
      <c r="K22" s="49">
        <f t="shared" si="2"/>
        <v>0</v>
      </c>
      <c r="L22" s="47">
        <f t="shared" si="3"/>
        <v>0</v>
      </c>
      <c r="M22" s="47">
        <f t="shared" si="4"/>
        <v>0</v>
      </c>
      <c r="N22" s="12">
        <f t="shared" si="5"/>
        <v>0</v>
      </c>
      <c r="Q22" s="20"/>
      <c r="R22" s="10"/>
      <c r="CD22" s="12"/>
    </row>
    <row r="23" spans="2:82" ht="15" thickBot="1" x14ac:dyDescent="0.35">
      <c r="B23" s="24" t="s">
        <v>30</v>
      </c>
      <c r="C23" s="28">
        <f>C21*C22</f>
        <v>13028.267777777779</v>
      </c>
      <c r="D23" s="16" t="s">
        <v>25</v>
      </c>
      <c r="I23" s="10">
        <v>0</v>
      </c>
      <c r="J23" s="47">
        <v>0</v>
      </c>
      <c r="K23" s="49">
        <f t="shared" si="2"/>
        <v>0</v>
      </c>
      <c r="L23" s="47">
        <f t="shared" si="3"/>
        <v>0</v>
      </c>
      <c r="M23" s="47">
        <f t="shared" si="4"/>
        <v>0</v>
      </c>
      <c r="N23" s="12">
        <f t="shared" si="5"/>
        <v>0</v>
      </c>
      <c r="Q23" s="20"/>
      <c r="R23" s="10"/>
      <c r="CD23" s="12"/>
    </row>
    <row r="24" spans="2:82" ht="15" thickBot="1" x14ac:dyDescent="0.35">
      <c r="I24" s="10">
        <v>0</v>
      </c>
      <c r="J24" s="47">
        <v>0</v>
      </c>
      <c r="K24" s="49">
        <f t="shared" si="2"/>
        <v>0</v>
      </c>
      <c r="L24" s="47">
        <f t="shared" si="3"/>
        <v>0</v>
      </c>
      <c r="M24" s="47">
        <f t="shared" si="4"/>
        <v>0</v>
      </c>
      <c r="N24" s="12">
        <f t="shared" si="5"/>
        <v>0</v>
      </c>
      <c r="Q24" s="20"/>
      <c r="R24" s="10"/>
      <c r="CD24" s="12"/>
    </row>
    <row r="25" spans="2:82" x14ac:dyDescent="0.3">
      <c r="B25" s="19" t="s">
        <v>51</v>
      </c>
      <c r="C25" s="8"/>
      <c r="D25" s="9"/>
      <c r="I25" s="10">
        <v>0</v>
      </c>
      <c r="J25" s="47">
        <v>0</v>
      </c>
      <c r="K25" s="49">
        <f t="shared" si="2"/>
        <v>0</v>
      </c>
      <c r="L25" s="47">
        <f t="shared" si="3"/>
        <v>0</v>
      </c>
      <c r="M25" s="47">
        <f t="shared" si="4"/>
        <v>0</v>
      </c>
      <c r="N25" s="12">
        <f t="shared" si="5"/>
        <v>0</v>
      </c>
      <c r="Q25" s="20"/>
      <c r="R25" s="10"/>
      <c r="CD25" s="12"/>
    </row>
    <row r="26" spans="2:82" ht="15" thickBot="1" x14ac:dyDescent="0.35">
      <c r="B26" s="24" t="s">
        <v>31</v>
      </c>
      <c r="C26" s="29">
        <f>C17/C23</f>
        <v>81361.545378122653</v>
      </c>
      <c r="D26" s="16"/>
      <c r="I26" s="10">
        <v>0</v>
      </c>
      <c r="J26" s="47">
        <v>0</v>
      </c>
      <c r="K26" s="49">
        <f t="shared" si="2"/>
        <v>0</v>
      </c>
      <c r="L26" s="47">
        <f t="shared" si="3"/>
        <v>0</v>
      </c>
      <c r="M26" s="47">
        <f t="shared" si="4"/>
        <v>0</v>
      </c>
      <c r="N26" s="12">
        <f t="shared" si="5"/>
        <v>0</v>
      </c>
      <c r="Q26" s="20"/>
      <c r="R26" s="10"/>
      <c r="CD26" s="12"/>
    </row>
    <row r="27" spans="2:82" ht="15" thickBot="1" x14ac:dyDescent="0.35">
      <c r="C27" s="30"/>
      <c r="I27" s="10">
        <v>0</v>
      </c>
      <c r="J27" s="47">
        <v>0</v>
      </c>
      <c r="K27" s="49">
        <f t="shared" si="2"/>
        <v>0</v>
      </c>
      <c r="L27" s="47">
        <f t="shared" si="3"/>
        <v>0</v>
      </c>
      <c r="M27" s="47">
        <f t="shared" si="4"/>
        <v>0</v>
      </c>
      <c r="N27" s="12">
        <f t="shared" si="5"/>
        <v>0</v>
      </c>
      <c r="Q27" s="20"/>
      <c r="R27" s="10"/>
      <c r="CD27" s="12"/>
    </row>
    <row r="28" spans="2:82" x14ac:dyDescent="0.3">
      <c r="B28" s="31" t="s">
        <v>52</v>
      </c>
      <c r="C28" s="8"/>
      <c r="D28" s="9"/>
      <c r="I28" s="10">
        <v>0</v>
      </c>
      <c r="J28" s="47">
        <v>0</v>
      </c>
      <c r="K28" s="49">
        <f t="shared" si="2"/>
        <v>0</v>
      </c>
      <c r="L28" s="47">
        <f t="shared" si="3"/>
        <v>0</v>
      </c>
      <c r="M28" s="47">
        <f t="shared" si="4"/>
        <v>0</v>
      </c>
      <c r="N28" s="12">
        <f t="shared" si="5"/>
        <v>0</v>
      </c>
      <c r="Q28" s="20"/>
      <c r="R28" s="10"/>
      <c r="CD28" s="12"/>
    </row>
    <row r="29" spans="2:82" x14ac:dyDescent="0.3">
      <c r="B29" s="21" t="s">
        <v>32</v>
      </c>
      <c r="C29" s="32">
        <f>51.5*9.81</f>
        <v>505.21500000000003</v>
      </c>
      <c r="D29" s="12" t="s">
        <v>14</v>
      </c>
      <c r="I29" s="10">
        <v>0</v>
      </c>
      <c r="J29" s="47">
        <v>0</v>
      </c>
      <c r="K29" s="49">
        <f t="shared" si="2"/>
        <v>0</v>
      </c>
      <c r="L29" s="47">
        <f t="shared" si="3"/>
        <v>0</v>
      </c>
      <c r="M29" s="47">
        <f t="shared" si="4"/>
        <v>0</v>
      </c>
      <c r="N29" s="12">
        <f t="shared" si="5"/>
        <v>0</v>
      </c>
      <c r="Q29" s="20"/>
      <c r="R29" s="10"/>
      <c r="CD29" s="12"/>
    </row>
    <row r="30" spans="2:82" x14ac:dyDescent="0.3">
      <c r="B30" s="21" t="s">
        <v>33</v>
      </c>
      <c r="C30" s="27">
        <f>0.8*C29</f>
        <v>404.17200000000003</v>
      </c>
      <c r="D30" s="12" t="s">
        <v>14</v>
      </c>
      <c r="I30" s="10">
        <v>0</v>
      </c>
      <c r="J30" s="47">
        <v>0</v>
      </c>
      <c r="K30" s="49">
        <f t="shared" si="2"/>
        <v>0</v>
      </c>
      <c r="L30" s="47">
        <f t="shared" si="3"/>
        <v>0</v>
      </c>
      <c r="M30" s="47">
        <f t="shared" si="4"/>
        <v>0</v>
      </c>
      <c r="N30" s="12">
        <f t="shared" si="5"/>
        <v>0</v>
      </c>
      <c r="Q30" s="20"/>
      <c r="R30" s="10"/>
      <c r="CD30" s="12"/>
    </row>
    <row r="31" spans="2:82" ht="15" thickBot="1" x14ac:dyDescent="0.35">
      <c r="B31" s="24" t="s">
        <v>34</v>
      </c>
      <c r="C31" s="33">
        <f>1446608*2</f>
        <v>2893216</v>
      </c>
      <c r="D31" s="16"/>
      <c r="I31" s="10">
        <v>0</v>
      </c>
      <c r="J31" s="47">
        <v>0</v>
      </c>
      <c r="K31" s="49">
        <f t="shared" si="2"/>
        <v>0</v>
      </c>
      <c r="L31" s="47">
        <f t="shared" si="3"/>
        <v>0</v>
      </c>
      <c r="M31" s="47">
        <f t="shared" si="4"/>
        <v>0</v>
      </c>
      <c r="N31" s="12">
        <f t="shared" si="5"/>
        <v>0</v>
      </c>
      <c r="Q31" s="20"/>
      <c r="R31" s="10"/>
      <c r="CD31" s="12"/>
    </row>
    <row r="32" spans="2:82" x14ac:dyDescent="0.3">
      <c r="I32" s="10">
        <v>0</v>
      </c>
      <c r="J32" s="47">
        <v>0</v>
      </c>
      <c r="K32" s="49">
        <f t="shared" si="2"/>
        <v>0</v>
      </c>
      <c r="L32" s="47">
        <f t="shared" si="3"/>
        <v>0</v>
      </c>
      <c r="M32" s="47">
        <f t="shared" si="4"/>
        <v>0</v>
      </c>
      <c r="N32" s="12">
        <f t="shared" si="5"/>
        <v>0</v>
      </c>
      <c r="Q32" s="20"/>
      <c r="R32" s="10"/>
      <c r="CD32" s="12"/>
    </row>
    <row r="33" spans="1:82" x14ac:dyDescent="0.3">
      <c r="I33" s="10">
        <v>0</v>
      </c>
      <c r="J33" s="47">
        <v>0</v>
      </c>
      <c r="K33" s="49">
        <f t="shared" si="2"/>
        <v>0</v>
      </c>
      <c r="L33" s="47">
        <f t="shared" si="3"/>
        <v>0</v>
      </c>
      <c r="M33" s="47">
        <f t="shared" si="4"/>
        <v>0</v>
      </c>
      <c r="N33" s="12">
        <f t="shared" si="5"/>
        <v>0</v>
      </c>
      <c r="Q33" s="20"/>
      <c r="R33" s="10"/>
      <c r="CD33" s="12"/>
    </row>
    <row r="34" spans="1:82" x14ac:dyDescent="0.3">
      <c r="I34" s="10">
        <v>0</v>
      </c>
      <c r="J34" s="47">
        <v>0</v>
      </c>
      <c r="K34" s="49">
        <f t="shared" si="2"/>
        <v>0</v>
      </c>
      <c r="L34" s="47">
        <f t="shared" si="3"/>
        <v>0</v>
      </c>
      <c r="M34" s="47">
        <f t="shared" si="4"/>
        <v>0</v>
      </c>
      <c r="N34" s="12">
        <f t="shared" si="5"/>
        <v>0</v>
      </c>
      <c r="Q34" s="20"/>
      <c r="R34" s="10"/>
      <c r="CD34" s="12"/>
    </row>
    <row r="35" spans="1:82" x14ac:dyDescent="0.3">
      <c r="I35" s="10">
        <v>0</v>
      </c>
      <c r="J35" s="47">
        <v>0</v>
      </c>
      <c r="K35" s="49">
        <f t="shared" si="2"/>
        <v>0</v>
      </c>
      <c r="L35" s="47">
        <f t="shared" si="3"/>
        <v>0</v>
      </c>
      <c r="M35" s="47">
        <f t="shared" si="4"/>
        <v>0</v>
      </c>
      <c r="N35" s="12">
        <f t="shared" si="5"/>
        <v>0</v>
      </c>
      <c r="Q35" s="20"/>
      <c r="R35" s="10"/>
      <c r="CD35" s="12"/>
    </row>
    <row r="36" spans="1:82" ht="15" thickBot="1" x14ac:dyDescent="0.35">
      <c r="I36" s="10">
        <v>0</v>
      </c>
      <c r="J36" s="47">
        <v>0</v>
      </c>
      <c r="K36" s="49">
        <f t="shared" si="2"/>
        <v>0</v>
      </c>
      <c r="L36" s="47">
        <f t="shared" si="3"/>
        <v>0</v>
      </c>
      <c r="M36" s="47">
        <f t="shared" si="4"/>
        <v>0</v>
      </c>
      <c r="N36" s="12">
        <f t="shared" si="5"/>
        <v>0</v>
      </c>
      <c r="O36" s="13"/>
      <c r="Q36" s="20"/>
      <c r="R36" s="10"/>
      <c r="CD36" s="12"/>
    </row>
    <row r="37" spans="1:82" x14ac:dyDescent="0.3">
      <c r="B37" s="19" t="s">
        <v>35</v>
      </c>
      <c r="C37" s="8"/>
      <c r="D37" s="9"/>
      <c r="I37" s="10">
        <v>0</v>
      </c>
      <c r="J37" s="47">
        <v>0</v>
      </c>
      <c r="K37" s="49">
        <f t="shared" si="2"/>
        <v>0</v>
      </c>
      <c r="L37" s="47">
        <f t="shared" si="3"/>
        <v>0</v>
      </c>
      <c r="M37" s="47">
        <f t="shared" si="4"/>
        <v>0</v>
      </c>
      <c r="N37" s="12">
        <f t="shared" si="5"/>
        <v>0</v>
      </c>
      <c r="P37" s="18"/>
      <c r="Q37" s="20"/>
      <c r="R37" s="10"/>
      <c r="CD37" s="12"/>
    </row>
    <row r="38" spans="1:82" x14ac:dyDescent="0.3">
      <c r="B38" s="34" t="s">
        <v>36</v>
      </c>
      <c r="C38" s="35">
        <f>C31</f>
        <v>2893216</v>
      </c>
      <c r="D38" s="12"/>
      <c r="I38" s="10">
        <v>0</v>
      </c>
      <c r="J38" s="47">
        <v>0</v>
      </c>
      <c r="K38" s="49">
        <f t="shared" si="2"/>
        <v>0</v>
      </c>
      <c r="L38" s="47">
        <f t="shared" si="3"/>
        <v>0</v>
      </c>
      <c r="M38" s="47">
        <f t="shared" si="4"/>
        <v>0</v>
      </c>
      <c r="N38" s="12">
        <f t="shared" si="5"/>
        <v>0</v>
      </c>
      <c r="Q38" s="20"/>
      <c r="R38" s="10"/>
      <c r="CD38" s="12"/>
    </row>
    <row r="39" spans="1:82" ht="15" thickBot="1" x14ac:dyDescent="0.35">
      <c r="B39" s="36" t="s">
        <v>37</v>
      </c>
      <c r="C39" s="37">
        <f>(SUM(M8:M71)/C38)^(1/3)</f>
        <v>0</v>
      </c>
      <c r="D39" s="16" t="s">
        <v>14</v>
      </c>
      <c r="I39" s="10">
        <v>0</v>
      </c>
      <c r="J39" s="47">
        <v>0</v>
      </c>
      <c r="K39" s="49">
        <f t="shared" si="2"/>
        <v>0</v>
      </c>
      <c r="L39" s="47">
        <f t="shared" si="3"/>
        <v>0</v>
      </c>
      <c r="M39" s="47">
        <f t="shared" si="4"/>
        <v>0</v>
      </c>
      <c r="N39" s="12">
        <f t="shared" si="5"/>
        <v>0</v>
      </c>
      <c r="Q39" s="20"/>
      <c r="R39" s="10"/>
      <c r="CD39" s="12"/>
    </row>
    <row r="40" spans="1:82" x14ac:dyDescent="0.3">
      <c r="I40" s="10">
        <v>0</v>
      </c>
      <c r="J40" s="47">
        <v>0</v>
      </c>
      <c r="K40" s="49">
        <f t="shared" si="2"/>
        <v>0</v>
      </c>
      <c r="L40" s="47">
        <f t="shared" si="3"/>
        <v>0</v>
      </c>
      <c r="M40" s="47">
        <f t="shared" si="4"/>
        <v>0</v>
      </c>
      <c r="N40" s="12">
        <f t="shared" si="5"/>
        <v>0</v>
      </c>
      <c r="Q40" s="20"/>
      <c r="R40" s="10"/>
      <c r="CD40" s="12"/>
    </row>
    <row r="41" spans="1:82" x14ac:dyDescent="0.3">
      <c r="A41" s="1"/>
      <c r="C41" s="38"/>
      <c r="D41" s="38"/>
      <c r="E41" s="38"/>
      <c r="I41" s="10">
        <v>0</v>
      </c>
      <c r="J41" s="47">
        <v>0</v>
      </c>
      <c r="K41" s="49">
        <f t="shared" si="2"/>
        <v>0</v>
      </c>
      <c r="L41" s="47">
        <f t="shared" si="3"/>
        <v>0</v>
      </c>
      <c r="M41" s="47">
        <f t="shared" si="4"/>
        <v>0</v>
      </c>
      <c r="N41" s="12">
        <f t="shared" si="5"/>
        <v>0</v>
      </c>
      <c r="Q41" s="20"/>
      <c r="R41" s="10"/>
      <c r="CD41" s="12"/>
    </row>
    <row r="42" spans="1:82" ht="15" thickBot="1" x14ac:dyDescent="0.35">
      <c r="A42" s="1"/>
      <c r="C42" s="38"/>
      <c r="D42" s="38"/>
      <c r="E42" s="38"/>
      <c r="I42" s="10">
        <v>0</v>
      </c>
      <c r="J42" s="47">
        <v>0</v>
      </c>
      <c r="K42" s="49">
        <f t="shared" si="2"/>
        <v>0</v>
      </c>
      <c r="L42" s="47">
        <f t="shared" si="3"/>
        <v>0</v>
      </c>
      <c r="M42" s="47">
        <f t="shared" si="4"/>
        <v>0</v>
      </c>
      <c r="N42" s="12">
        <f t="shared" si="5"/>
        <v>0</v>
      </c>
      <c r="Q42" s="20"/>
      <c r="R42" s="10"/>
      <c r="CD42" s="12"/>
    </row>
    <row r="43" spans="1:82" x14ac:dyDescent="0.3">
      <c r="B43" s="31" t="s">
        <v>38</v>
      </c>
      <c r="C43" s="39"/>
      <c r="D43" s="40"/>
      <c r="I43" s="10">
        <v>0</v>
      </c>
      <c r="J43" s="47">
        <v>0</v>
      </c>
      <c r="K43" s="49">
        <f t="shared" si="2"/>
        <v>0</v>
      </c>
      <c r="L43" s="47">
        <f t="shared" si="3"/>
        <v>0</v>
      </c>
      <c r="M43" s="47">
        <f t="shared" si="4"/>
        <v>0</v>
      </c>
      <c r="N43" s="12">
        <f t="shared" si="5"/>
        <v>0</v>
      </c>
      <c r="Q43" s="20"/>
      <c r="R43" s="10"/>
      <c r="CD43" s="12"/>
    </row>
    <row r="44" spans="1:82" x14ac:dyDescent="0.3">
      <c r="B44" s="21" t="s">
        <v>39</v>
      </c>
      <c r="C44" s="35">
        <f>C30</f>
        <v>404.17200000000003</v>
      </c>
      <c r="D44" s="12"/>
      <c r="E44" s="41"/>
      <c r="F44" s="42"/>
      <c r="I44" s="10">
        <v>0</v>
      </c>
      <c r="J44" s="47">
        <v>0</v>
      </c>
      <c r="K44" s="49">
        <f t="shared" si="2"/>
        <v>0</v>
      </c>
      <c r="L44" s="47">
        <f t="shared" si="3"/>
        <v>0</v>
      </c>
      <c r="M44" s="47">
        <f t="shared" si="4"/>
        <v>0</v>
      </c>
      <c r="N44" s="12">
        <f t="shared" si="5"/>
        <v>0</v>
      </c>
      <c r="Q44" s="20"/>
      <c r="R44" s="10"/>
      <c r="CD44" s="12"/>
    </row>
    <row r="45" spans="1:82" ht="15" thickBot="1" x14ac:dyDescent="0.35">
      <c r="B45" s="24" t="s">
        <v>40</v>
      </c>
      <c r="C45" s="43">
        <f>C39</f>
        <v>0</v>
      </c>
      <c r="D45" s="16"/>
      <c r="I45" s="10">
        <v>0</v>
      </c>
      <c r="J45" s="47">
        <v>0</v>
      </c>
      <c r="K45" s="49">
        <f t="shared" si="2"/>
        <v>0</v>
      </c>
      <c r="L45" s="47">
        <f t="shared" si="3"/>
        <v>0</v>
      </c>
      <c r="M45" s="47">
        <f t="shared" si="4"/>
        <v>0</v>
      </c>
      <c r="N45" s="12">
        <f t="shared" si="5"/>
        <v>0</v>
      </c>
      <c r="Q45" s="20"/>
      <c r="R45" s="10"/>
      <c r="CD45" s="12"/>
    </row>
    <row r="46" spans="1:82" x14ac:dyDescent="0.3">
      <c r="I46" s="10">
        <v>0</v>
      </c>
      <c r="J46" s="47">
        <v>0</v>
      </c>
      <c r="K46" s="49">
        <f t="shared" si="2"/>
        <v>0</v>
      </c>
      <c r="L46" s="47">
        <f t="shared" si="3"/>
        <v>0</v>
      </c>
      <c r="M46" s="47">
        <f t="shared" si="4"/>
        <v>0</v>
      </c>
      <c r="N46" s="12">
        <f t="shared" si="5"/>
        <v>0</v>
      </c>
      <c r="Q46" s="20"/>
      <c r="R46" s="10"/>
      <c r="CD46" s="12"/>
    </row>
    <row r="47" spans="1:82" x14ac:dyDescent="0.3">
      <c r="I47" s="10">
        <v>0</v>
      </c>
      <c r="J47" s="47">
        <v>0</v>
      </c>
      <c r="K47" s="49">
        <f t="shared" si="2"/>
        <v>0</v>
      </c>
      <c r="L47" s="47">
        <f t="shared" si="3"/>
        <v>0</v>
      </c>
      <c r="M47" s="47">
        <f t="shared" si="4"/>
        <v>0</v>
      </c>
      <c r="N47" s="12">
        <f t="shared" si="5"/>
        <v>0</v>
      </c>
      <c r="Q47" s="20"/>
      <c r="R47" s="10"/>
      <c r="CD47" s="12"/>
    </row>
    <row r="48" spans="1:82" x14ac:dyDescent="0.3">
      <c r="B48"/>
      <c r="I48" s="10">
        <v>0</v>
      </c>
      <c r="J48" s="47">
        <v>0</v>
      </c>
      <c r="K48" s="49">
        <f t="shared" si="2"/>
        <v>0</v>
      </c>
      <c r="L48" s="47">
        <f t="shared" si="3"/>
        <v>0</v>
      </c>
      <c r="M48" s="47">
        <f t="shared" si="4"/>
        <v>0</v>
      </c>
      <c r="N48" s="12">
        <f t="shared" si="5"/>
        <v>0</v>
      </c>
      <c r="Q48" s="20"/>
      <c r="R48" s="10"/>
      <c r="CD48" s="12"/>
    </row>
    <row r="49" spans="2:82" x14ac:dyDescent="0.3">
      <c r="B49"/>
      <c r="I49" s="10">
        <v>0</v>
      </c>
      <c r="J49" s="47">
        <v>0</v>
      </c>
      <c r="K49" s="49">
        <f t="shared" si="2"/>
        <v>0</v>
      </c>
      <c r="L49" s="47">
        <f t="shared" si="3"/>
        <v>0</v>
      </c>
      <c r="M49" s="47">
        <f t="shared" si="4"/>
        <v>0</v>
      </c>
      <c r="N49" s="12">
        <f t="shared" si="5"/>
        <v>0</v>
      </c>
      <c r="Q49" s="20"/>
      <c r="R49" s="10"/>
      <c r="CD49" s="12"/>
    </row>
    <row r="50" spans="2:82" x14ac:dyDescent="0.3">
      <c r="B50"/>
      <c r="I50" s="10">
        <v>0</v>
      </c>
      <c r="J50" s="47">
        <v>0</v>
      </c>
      <c r="K50" s="49">
        <f t="shared" si="2"/>
        <v>0</v>
      </c>
      <c r="L50" s="47">
        <f t="shared" si="3"/>
        <v>0</v>
      </c>
      <c r="M50" s="47">
        <f t="shared" si="4"/>
        <v>0</v>
      </c>
      <c r="N50" s="12">
        <f t="shared" si="5"/>
        <v>0</v>
      </c>
      <c r="Q50" s="20"/>
      <c r="R50" s="10"/>
      <c r="CD50" s="12"/>
    </row>
    <row r="51" spans="2:82" x14ac:dyDescent="0.3">
      <c r="B51"/>
      <c r="I51" s="10">
        <v>0</v>
      </c>
      <c r="J51" s="47">
        <v>0</v>
      </c>
      <c r="K51" s="49">
        <f t="shared" si="2"/>
        <v>0</v>
      </c>
      <c r="L51" s="47">
        <f t="shared" si="3"/>
        <v>0</v>
      </c>
      <c r="M51" s="47">
        <f t="shared" si="4"/>
        <v>0</v>
      </c>
      <c r="N51" s="12">
        <f t="shared" si="5"/>
        <v>0</v>
      </c>
      <c r="Q51" s="20"/>
      <c r="R51" s="10"/>
      <c r="CD51" s="12"/>
    </row>
    <row r="52" spans="2:82" x14ac:dyDescent="0.3">
      <c r="B52"/>
      <c r="I52" s="10">
        <v>0</v>
      </c>
      <c r="J52" s="47">
        <v>0</v>
      </c>
      <c r="K52" s="49">
        <f t="shared" si="2"/>
        <v>0</v>
      </c>
      <c r="L52" s="47">
        <f t="shared" si="3"/>
        <v>0</v>
      </c>
      <c r="M52" s="47">
        <f t="shared" si="4"/>
        <v>0</v>
      </c>
      <c r="N52" s="12">
        <f t="shared" si="5"/>
        <v>0</v>
      </c>
      <c r="Q52" s="20"/>
      <c r="R52" s="10"/>
      <c r="CD52" s="12"/>
    </row>
    <row r="53" spans="2:82" x14ac:dyDescent="0.3">
      <c r="B53"/>
      <c r="I53" s="10">
        <v>0</v>
      </c>
      <c r="J53" s="47">
        <v>0</v>
      </c>
      <c r="K53" s="49">
        <f t="shared" si="2"/>
        <v>0</v>
      </c>
      <c r="L53" s="47">
        <f t="shared" si="3"/>
        <v>0</v>
      </c>
      <c r="M53" s="47">
        <f t="shared" si="4"/>
        <v>0</v>
      </c>
      <c r="N53" s="12">
        <f t="shared" si="5"/>
        <v>0</v>
      </c>
      <c r="Q53" s="20"/>
      <c r="R53" s="10"/>
      <c r="CD53" s="12"/>
    </row>
    <row r="54" spans="2:82" x14ac:dyDescent="0.3">
      <c r="B54"/>
      <c r="I54" s="10">
        <v>0</v>
      </c>
      <c r="J54" s="47">
        <v>0</v>
      </c>
      <c r="K54" s="49">
        <f t="shared" si="2"/>
        <v>0</v>
      </c>
      <c r="L54" s="47">
        <f t="shared" si="3"/>
        <v>0</v>
      </c>
      <c r="M54" s="47">
        <f t="shared" si="4"/>
        <v>0</v>
      </c>
      <c r="N54" s="12">
        <f t="shared" si="5"/>
        <v>0</v>
      </c>
      <c r="Q54" s="20"/>
      <c r="R54" s="10"/>
      <c r="CD54" s="12"/>
    </row>
    <row r="55" spans="2:82" x14ac:dyDescent="0.3">
      <c r="B55"/>
      <c r="I55" s="10">
        <v>0</v>
      </c>
      <c r="J55" s="47">
        <v>0</v>
      </c>
      <c r="K55" s="49">
        <f t="shared" si="2"/>
        <v>0</v>
      </c>
      <c r="L55" s="47">
        <f t="shared" si="3"/>
        <v>0</v>
      </c>
      <c r="M55" s="47">
        <f t="shared" si="4"/>
        <v>0</v>
      </c>
      <c r="N55" s="12">
        <f t="shared" si="5"/>
        <v>0</v>
      </c>
      <c r="Q55" s="20"/>
      <c r="R55" s="10"/>
      <c r="CD55" s="12"/>
    </row>
    <row r="56" spans="2:82" x14ac:dyDescent="0.3">
      <c r="B56"/>
      <c r="I56" s="10">
        <v>0</v>
      </c>
      <c r="J56" s="47">
        <v>0</v>
      </c>
      <c r="K56" s="49">
        <f t="shared" si="2"/>
        <v>0</v>
      </c>
      <c r="L56" s="47">
        <f t="shared" si="3"/>
        <v>0</v>
      </c>
      <c r="M56" s="47">
        <f t="shared" si="4"/>
        <v>0</v>
      </c>
      <c r="N56" s="12">
        <f t="shared" si="5"/>
        <v>0</v>
      </c>
      <c r="Q56" s="20"/>
      <c r="R56" s="10"/>
      <c r="CD56" s="12"/>
    </row>
    <row r="57" spans="2:82" x14ac:dyDescent="0.3">
      <c r="B57"/>
      <c r="I57" s="10">
        <v>0</v>
      </c>
      <c r="J57" s="47">
        <v>0</v>
      </c>
      <c r="K57" s="49">
        <f t="shared" si="2"/>
        <v>0</v>
      </c>
      <c r="L57" s="47">
        <f t="shared" si="3"/>
        <v>0</v>
      </c>
      <c r="M57" s="47">
        <f t="shared" si="4"/>
        <v>0</v>
      </c>
      <c r="N57" s="12">
        <f t="shared" si="5"/>
        <v>0</v>
      </c>
      <c r="Q57" s="20"/>
      <c r="R57" s="10"/>
      <c r="CD57" s="12"/>
    </row>
    <row r="58" spans="2:82" x14ac:dyDescent="0.3">
      <c r="B58"/>
      <c r="I58" s="10">
        <v>0</v>
      </c>
      <c r="J58" s="47">
        <v>0</v>
      </c>
      <c r="K58" s="49">
        <f t="shared" si="2"/>
        <v>0</v>
      </c>
      <c r="L58" s="47">
        <f t="shared" si="3"/>
        <v>0</v>
      </c>
      <c r="M58" s="47">
        <f t="shared" si="4"/>
        <v>0</v>
      </c>
      <c r="N58" s="12">
        <f t="shared" si="5"/>
        <v>0</v>
      </c>
      <c r="Q58" s="20"/>
      <c r="R58" s="10"/>
      <c r="CD58" s="12"/>
    </row>
    <row r="59" spans="2:82" x14ac:dyDescent="0.3">
      <c r="B59"/>
      <c r="I59" s="10">
        <v>0</v>
      </c>
      <c r="J59" s="47">
        <v>0</v>
      </c>
      <c r="K59" s="49">
        <f t="shared" si="2"/>
        <v>0</v>
      </c>
      <c r="L59" s="47">
        <f t="shared" si="3"/>
        <v>0</v>
      </c>
      <c r="M59" s="47">
        <f t="shared" si="4"/>
        <v>0</v>
      </c>
      <c r="N59" s="12">
        <f t="shared" si="5"/>
        <v>0</v>
      </c>
      <c r="Q59" s="20"/>
      <c r="R59" s="10"/>
      <c r="CD59" s="12"/>
    </row>
    <row r="60" spans="2:82" x14ac:dyDescent="0.3">
      <c r="B60"/>
      <c r="I60" s="10">
        <v>0</v>
      </c>
      <c r="J60" s="47">
        <v>0</v>
      </c>
      <c r="K60" s="49">
        <f t="shared" si="2"/>
        <v>0</v>
      </c>
      <c r="L60" s="47">
        <f t="shared" si="3"/>
        <v>0</v>
      </c>
      <c r="M60" s="47">
        <f t="shared" si="4"/>
        <v>0</v>
      </c>
      <c r="N60" s="12">
        <f t="shared" si="5"/>
        <v>0</v>
      </c>
      <c r="Q60" s="20"/>
      <c r="R60" s="10"/>
      <c r="CD60" s="12"/>
    </row>
    <row r="61" spans="2:82" x14ac:dyDescent="0.3">
      <c r="B61"/>
      <c r="I61" s="10">
        <v>0</v>
      </c>
      <c r="J61" s="47">
        <v>0</v>
      </c>
      <c r="K61" s="49">
        <f t="shared" si="2"/>
        <v>0</v>
      </c>
      <c r="L61" s="47">
        <f t="shared" si="3"/>
        <v>0</v>
      </c>
      <c r="M61" s="47">
        <f t="shared" si="4"/>
        <v>0</v>
      </c>
      <c r="N61" s="12">
        <f t="shared" si="5"/>
        <v>0</v>
      </c>
      <c r="Q61" s="20"/>
      <c r="R61" s="10"/>
      <c r="CD61" s="12"/>
    </row>
    <row r="62" spans="2:82" x14ac:dyDescent="0.3">
      <c r="B62"/>
      <c r="I62" s="10">
        <v>0</v>
      </c>
      <c r="J62" s="47">
        <v>0</v>
      </c>
      <c r="K62" s="49">
        <f t="shared" si="2"/>
        <v>0</v>
      </c>
      <c r="L62" s="47">
        <f t="shared" si="3"/>
        <v>0</v>
      </c>
      <c r="M62" s="47">
        <f t="shared" si="4"/>
        <v>0</v>
      </c>
      <c r="N62" s="12">
        <f t="shared" si="5"/>
        <v>0</v>
      </c>
      <c r="Q62" s="20"/>
      <c r="R62" s="10"/>
      <c r="CD62" s="12"/>
    </row>
    <row r="63" spans="2:82" x14ac:dyDescent="0.3">
      <c r="B63"/>
      <c r="I63" s="10">
        <v>0</v>
      </c>
      <c r="J63" s="47">
        <v>0</v>
      </c>
      <c r="K63" s="49">
        <f t="shared" si="2"/>
        <v>0</v>
      </c>
      <c r="L63" s="47">
        <f t="shared" si="3"/>
        <v>0</v>
      </c>
      <c r="M63" s="47">
        <f t="shared" si="4"/>
        <v>0</v>
      </c>
      <c r="N63" s="12">
        <f t="shared" si="5"/>
        <v>0</v>
      </c>
      <c r="Q63" s="20"/>
      <c r="R63" s="10"/>
      <c r="CD63" s="12"/>
    </row>
    <row r="64" spans="2:82" x14ac:dyDescent="0.3">
      <c r="B64"/>
      <c r="I64" s="10">
        <v>0</v>
      </c>
      <c r="J64" s="47">
        <v>0</v>
      </c>
      <c r="K64" s="49">
        <f t="shared" si="2"/>
        <v>0</v>
      </c>
      <c r="L64" s="47">
        <f t="shared" si="3"/>
        <v>0</v>
      </c>
      <c r="M64" s="47">
        <f t="shared" si="4"/>
        <v>0</v>
      </c>
      <c r="N64" s="12">
        <f t="shared" si="5"/>
        <v>0</v>
      </c>
      <c r="Q64" s="20"/>
      <c r="R64" s="10"/>
      <c r="CD64" s="12"/>
    </row>
    <row r="65" spans="2:82" x14ac:dyDescent="0.3">
      <c r="B65"/>
      <c r="I65" s="10">
        <v>0</v>
      </c>
      <c r="J65" s="47">
        <v>0</v>
      </c>
      <c r="K65" s="49">
        <f t="shared" si="2"/>
        <v>0</v>
      </c>
      <c r="L65" s="47">
        <f t="shared" si="3"/>
        <v>0</v>
      </c>
      <c r="M65" s="47">
        <f t="shared" si="4"/>
        <v>0</v>
      </c>
      <c r="N65" s="12">
        <f t="shared" si="5"/>
        <v>0</v>
      </c>
      <c r="Q65" s="20"/>
      <c r="R65" s="10"/>
      <c r="CD65" s="12"/>
    </row>
    <row r="66" spans="2:82" x14ac:dyDescent="0.3">
      <c r="B66"/>
      <c r="I66" s="10">
        <v>0</v>
      </c>
      <c r="J66" s="47">
        <v>0</v>
      </c>
      <c r="K66" s="49">
        <f t="shared" si="2"/>
        <v>0</v>
      </c>
      <c r="L66" s="47">
        <f t="shared" si="3"/>
        <v>0</v>
      </c>
      <c r="M66" s="47">
        <f t="shared" si="4"/>
        <v>0</v>
      </c>
      <c r="N66" s="12">
        <f t="shared" si="5"/>
        <v>0</v>
      </c>
      <c r="Q66" s="20"/>
      <c r="R66" s="10"/>
      <c r="CD66" s="12"/>
    </row>
    <row r="67" spans="2:82" x14ac:dyDescent="0.3">
      <c r="B67"/>
      <c r="I67" s="10">
        <v>0</v>
      </c>
      <c r="J67" s="47">
        <v>0</v>
      </c>
      <c r="K67" s="49">
        <f t="shared" si="2"/>
        <v>0</v>
      </c>
      <c r="L67" s="47">
        <f t="shared" si="3"/>
        <v>0</v>
      </c>
      <c r="M67" s="47">
        <f t="shared" si="4"/>
        <v>0</v>
      </c>
      <c r="N67" s="12">
        <f t="shared" si="5"/>
        <v>0</v>
      </c>
      <c r="Q67" s="20"/>
      <c r="R67" s="10"/>
      <c r="CD67" s="12"/>
    </row>
    <row r="68" spans="2:82" x14ac:dyDescent="0.3">
      <c r="B68"/>
      <c r="I68" s="10">
        <v>0</v>
      </c>
      <c r="J68" s="47">
        <v>0</v>
      </c>
      <c r="K68" s="49">
        <f t="shared" si="2"/>
        <v>0</v>
      </c>
      <c r="L68" s="47">
        <f t="shared" si="3"/>
        <v>0</v>
      </c>
      <c r="M68" s="47">
        <f t="shared" si="4"/>
        <v>0</v>
      </c>
      <c r="N68" s="12">
        <f t="shared" si="5"/>
        <v>0</v>
      </c>
      <c r="Q68" s="20"/>
      <c r="R68" s="10"/>
      <c r="CD68" s="12"/>
    </row>
    <row r="69" spans="2:82" ht="23.1" customHeight="1" x14ac:dyDescent="0.3">
      <c r="B69"/>
      <c r="I69" s="10">
        <v>0</v>
      </c>
      <c r="J69" s="47">
        <v>0</v>
      </c>
      <c r="K69" s="49">
        <f t="shared" si="2"/>
        <v>0</v>
      </c>
      <c r="L69" s="47">
        <f t="shared" si="3"/>
        <v>0</v>
      </c>
      <c r="M69" s="47">
        <f t="shared" si="4"/>
        <v>0</v>
      </c>
      <c r="N69" s="12">
        <f t="shared" si="5"/>
        <v>0</v>
      </c>
      <c r="Q69" s="20"/>
      <c r="R69" s="10"/>
      <c r="CD69" s="12"/>
    </row>
    <row r="70" spans="2:82" ht="23.1" customHeight="1" x14ac:dyDescent="0.3">
      <c r="I70" s="10">
        <v>0</v>
      </c>
      <c r="J70" s="47">
        <v>0</v>
      </c>
      <c r="K70" s="49">
        <f t="shared" si="2"/>
        <v>0</v>
      </c>
      <c r="L70" s="47">
        <f t="shared" si="3"/>
        <v>0</v>
      </c>
      <c r="M70" s="47">
        <f t="shared" si="4"/>
        <v>0</v>
      </c>
      <c r="N70" s="12">
        <f t="shared" si="5"/>
        <v>0</v>
      </c>
      <c r="Q70" s="20"/>
      <c r="R70" s="10"/>
      <c r="CD70" s="12"/>
    </row>
    <row r="71" spans="2:82" ht="23.1" customHeight="1" thickBot="1" x14ac:dyDescent="0.35">
      <c r="E71" s="6" t="s">
        <v>41</v>
      </c>
      <c r="I71" s="14">
        <v>0</v>
      </c>
      <c r="J71" s="15">
        <v>0</v>
      </c>
      <c r="K71" s="44">
        <f t="shared" si="2"/>
        <v>0</v>
      </c>
      <c r="L71" s="15">
        <f t="shared" si="3"/>
        <v>0</v>
      </c>
      <c r="M71" s="15">
        <f t="shared" si="4"/>
        <v>0</v>
      </c>
      <c r="N71" s="16">
        <f t="shared" si="5"/>
        <v>0</v>
      </c>
      <c r="Q71" s="20"/>
      <c r="R71" s="10"/>
      <c r="CD71" s="12"/>
    </row>
    <row r="72" spans="2:82" ht="21" customHeight="1" x14ac:dyDescent="0.3">
      <c r="E72" s="50" t="s">
        <v>42</v>
      </c>
      <c r="F72" s="51"/>
      <c r="G72" s="51"/>
      <c r="H72" s="52"/>
      <c r="I72" s="47"/>
      <c r="J72" s="47"/>
      <c r="K72" s="47"/>
      <c r="L72" s="47"/>
      <c r="M72" s="47" t="s">
        <v>43</v>
      </c>
      <c r="N72" s="57">
        <f>SUM(N8:N71)</f>
        <v>0</v>
      </c>
      <c r="Q72" s="20"/>
      <c r="R72" s="10"/>
      <c r="CD72" s="12"/>
    </row>
    <row r="73" spans="2:82" x14ac:dyDescent="0.3">
      <c r="E73" s="54"/>
      <c r="F73" s="55"/>
      <c r="G73" s="55"/>
      <c r="H73" s="47" t="s">
        <v>44</v>
      </c>
      <c r="I73" s="56">
        <f>C30</f>
        <v>404.17200000000003</v>
      </c>
      <c r="J73" s="47"/>
      <c r="K73" s="49">
        <f>C31</f>
        <v>2893216</v>
      </c>
      <c r="L73" s="47"/>
      <c r="M73" s="47"/>
      <c r="N73" s="57">
        <f t="shared" ref="N73:N74" si="6">(K73/50000000)*(I73/23)^3</f>
        <v>313.99737398529436</v>
      </c>
      <c r="Q73" s="20"/>
      <c r="R73" s="10"/>
      <c r="CD73" s="12"/>
    </row>
    <row r="74" spans="2:82" x14ac:dyDescent="0.3">
      <c r="E74" s="58"/>
      <c r="F74" s="59"/>
      <c r="G74" s="59"/>
      <c r="H74" s="60" t="s">
        <v>45</v>
      </c>
      <c r="I74" s="60">
        <f>C39</f>
        <v>0</v>
      </c>
      <c r="J74" s="60"/>
      <c r="K74" s="61">
        <f>C38</f>
        <v>2893216</v>
      </c>
      <c r="L74" s="60"/>
      <c r="M74" s="60"/>
      <c r="N74" s="62">
        <f t="shared" si="6"/>
        <v>0</v>
      </c>
      <c r="Q74" s="20"/>
      <c r="R74" s="10"/>
      <c r="CD74" s="12"/>
    </row>
    <row r="75" spans="2:82" x14ac:dyDescent="0.3">
      <c r="Q75" s="20"/>
      <c r="R75" s="10"/>
      <c r="CD75" s="12"/>
    </row>
    <row r="76" spans="2:82" x14ac:dyDescent="0.3">
      <c r="E76" s="6"/>
      <c r="Q76" s="20"/>
      <c r="R76" s="10"/>
      <c r="CD76" s="12"/>
    </row>
    <row r="77" spans="2:82" x14ac:dyDescent="0.3">
      <c r="Q77" s="20"/>
      <c r="R77" s="10"/>
      <c r="CD77" s="12"/>
    </row>
    <row r="78" spans="2:82" x14ac:dyDescent="0.3">
      <c r="Q78" s="20"/>
      <c r="R78" s="10"/>
      <c r="CD78" s="12"/>
    </row>
    <row r="79" spans="2:82" ht="15" thickBot="1" x14ac:dyDescent="0.35">
      <c r="Q79" s="20"/>
      <c r="R79" s="14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6"/>
    </row>
    <row r="81" spans="1:82" ht="15" thickBot="1" x14ac:dyDescent="0.35"/>
    <row r="82" spans="1:82" s="2" customFormat="1" ht="15" thickBot="1" x14ac:dyDescent="0.35">
      <c r="A82" s="2" t="s">
        <v>0</v>
      </c>
      <c r="B82" s="3"/>
    </row>
    <row r="84" spans="1:82" ht="18" x14ac:dyDescent="0.35">
      <c r="B84" s="4" t="s">
        <v>1</v>
      </c>
      <c r="C84" s="5" t="s">
        <v>46</v>
      </c>
      <c r="I84" s="6" t="s">
        <v>3</v>
      </c>
      <c r="Q84" s="6" t="s">
        <v>4</v>
      </c>
    </row>
    <row r="85" spans="1:82" ht="18.600000000000001" thickBot="1" x14ac:dyDescent="0.4">
      <c r="B85" s="4" t="s">
        <v>5</v>
      </c>
      <c r="C85" s="5" t="s">
        <v>6</v>
      </c>
      <c r="I85" s="66" t="s">
        <v>56</v>
      </c>
    </row>
    <row r="86" spans="1:82" ht="18.600000000000001" thickBot="1" x14ac:dyDescent="0.4">
      <c r="B86" s="4" t="s">
        <v>7</v>
      </c>
      <c r="C86" s="5"/>
      <c r="I86" s="7" t="s">
        <v>8</v>
      </c>
      <c r="J86" s="8" t="s">
        <v>9</v>
      </c>
      <c r="K86" s="8" t="s">
        <v>10</v>
      </c>
      <c r="L86" s="8" t="s">
        <v>11</v>
      </c>
      <c r="M86" s="8" t="s">
        <v>12</v>
      </c>
      <c r="N86" s="9" t="s">
        <v>13</v>
      </c>
    </row>
    <row r="87" spans="1:82" x14ac:dyDescent="0.3">
      <c r="I87" s="10" t="s">
        <v>14</v>
      </c>
      <c r="J87" s="11" t="s">
        <v>15</v>
      </c>
      <c r="K87" s="11" t="s">
        <v>15</v>
      </c>
      <c r="L87" s="11" t="s">
        <v>15</v>
      </c>
      <c r="N87" s="12"/>
      <c r="Q87" s="7" t="s">
        <v>8</v>
      </c>
      <c r="R87" s="8" t="s">
        <v>14</v>
      </c>
      <c r="S87" s="8">
        <f>S96</f>
        <v>0</v>
      </c>
      <c r="T87" s="8">
        <f t="shared" ref="T87:CD87" si="7">T96</f>
        <v>0</v>
      </c>
      <c r="U87" s="8">
        <f t="shared" si="7"/>
        <v>0</v>
      </c>
      <c r="V87" s="8">
        <f t="shared" si="7"/>
        <v>0</v>
      </c>
      <c r="W87" s="8">
        <f t="shared" si="7"/>
        <v>0</v>
      </c>
      <c r="X87" s="8">
        <f t="shared" si="7"/>
        <v>0</v>
      </c>
      <c r="Y87" s="8">
        <f t="shared" si="7"/>
        <v>0</v>
      </c>
      <c r="Z87" s="8">
        <f t="shared" si="7"/>
        <v>0</v>
      </c>
      <c r="AA87" s="8">
        <f t="shared" si="7"/>
        <v>0</v>
      </c>
      <c r="AB87" s="8">
        <f t="shared" si="7"/>
        <v>0</v>
      </c>
      <c r="AC87" s="8">
        <f t="shared" si="7"/>
        <v>0</v>
      </c>
      <c r="AD87" s="8">
        <f t="shared" si="7"/>
        <v>0</v>
      </c>
      <c r="AE87" s="8">
        <f t="shared" si="7"/>
        <v>0</v>
      </c>
      <c r="AF87" s="8">
        <f t="shared" si="7"/>
        <v>0</v>
      </c>
      <c r="AG87" s="8">
        <f t="shared" si="7"/>
        <v>0</v>
      </c>
      <c r="AH87" s="8">
        <f t="shared" si="7"/>
        <v>0</v>
      </c>
      <c r="AI87" s="8">
        <f t="shared" si="7"/>
        <v>0</v>
      </c>
      <c r="AJ87" s="8">
        <f t="shared" si="7"/>
        <v>0</v>
      </c>
      <c r="AK87" s="8">
        <f t="shared" si="7"/>
        <v>0</v>
      </c>
      <c r="AL87" s="8">
        <f t="shared" si="7"/>
        <v>0</v>
      </c>
      <c r="AM87" s="8">
        <f t="shared" si="7"/>
        <v>0</v>
      </c>
      <c r="AN87" s="8">
        <f t="shared" si="7"/>
        <v>0</v>
      </c>
      <c r="AO87" s="8">
        <f t="shared" si="7"/>
        <v>0</v>
      </c>
      <c r="AP87" s="8">
        <f t="shared" si="7"/>
        <v>0</v>
      </c>
      <c r="AQ87" s="8">
        <f t="shared" si="7"/>
        <v>0</v>
      </c>
      <c r="AR87" s="8">
        <f t="shared" si="7"/>
        <v>0</v>
      </c>
      <c r="AS87" s="8">
        <f t="shared" si="7"/>
        <v>0</v>
      </c>
      <c r="AT87" s="8">
        <f t="shared" si="7"/>
        <v>0</v>
      </c>
      <c r="AU87" s="8">
        <f t="shared" si="7"/>
        <v>0</v>
      </c>
      <c r="AV87" s="8">
        <f t="shared" si="7"/>
        <v>0</v>
      </c>
      <c r="AW87" s="8">
        <f t="shared" si="7"/>
        <v>0</v>
      </c>
      <c r="AX87" s="8">
        <f t="shared" si="7"/>
        <v>0</v>
      </c>
      <c r="AY87" s="8">
        <f t="shared" si="7"/>
        <v>0</v>
      </c>
      <c r="AZ87" s="8">
        <f t="shared" si="7"/>
        <v>0</v>
      </c>
      <c r="BA87" s="8">
        <f t="shared" si="7"/>
        <v>0</v>
      </c>
      <c r="BB87" s="8">
        <f t="shared" si="7"/>
        <v>0</v>
      </c>
      <c r="BC87" s="8">
        <f t="shared" si="7"/>
        <v>0</v>
      </c>
      <c r="BD87" s="8">
        <f t="shared" si="7"/>
        <v>0</v>
      </c>
      <c r="BE87" s="8">
        <f t="shared" si="7"/>
        <v>0</v>
      </c>
      <c r="BF87" s="8">
        <f t="shared" si="7"/>
        <v>0</v>
      </c>
      <c r="BG87" s="8">
        <f t="shared" si="7"/>
        <v>0</v>
      </c>
      <c r="BH87" s="8">
        <f t="shared" si="7"/>
        <v>0</v>
      </c>
      <c r="BI87" s="8">
        <f t="shared" si="7"/>
        <v>0</v>
      </c>
      <c r="BJ87" s="8">
        <f t="shared" si="7"/>
        <v>0</v>
      </c>
      <c r="BK87" s="8">
        <f t="shared" si="7"/>
        <v>0</v>
      </c>
      <c r="BL87" s="8">
        <f t="shared" si="7"/>
        <v>0</v>
      </c>
      <c r="BM87" s="8">
        <f t="shared" si="7"/>
        <v>0</v>
      </c>
      <c r="BN87" s="8">
        <f t="shared" si="7"/>
        <v>0</v>
      </c>
      <c r="BO87" s="8">
        <f t="shared" si="7"/>
        <v>0</v>
      </c>
      <c r="BP87" s="8">
        <f t="shared" si="7"/>
        <v>0</v>
      </c>
      <c r="BQ87" s="8">
        <f t="shared" si="7"/>
        <v>0</v>
      </c>
      <c r="BR87" s="8">
        <f t="shared" si="7"/>
        <v>0</v>
      </c>
      <c r="BS87" s="8">
        <f t="shared" si="7"/>
        <v>0</v>
      </c>
      <c r="BT87" s="8">
        <f t="shared" si="7"/>
        <v>0</v>
      </c>
      <c r="BU87" s="8">
        <f t="shared" si="7"/>
        <v>0</v>
      </c>
      <c r="BV87" s="8">
        <f t="shared" si="7"/>
        <v>0</v>
      </c>
      <c r="BW87" s="8">
        <f t="shared" si="7"/>
        <v>0</v>
      </c>
      <c r="BX87" s="8">
        <f t="shared" si="7"/>
        <v>0</v>
      </c>
      <c r="BY87" s="8">
        <f t="shared" si="7"/>
        <v>0</v>
      </c>
      <c r="BZ87" s="8">
        <f t="shared" si="7"/>
        <v>0</v>
      </c>
      <c r="CA87" s="8">
        <f t="shared" si="7"/>
        <v>0</v>
      </c>
      <c r="CB87" s="8">
        <f t="shared" si="7"/>
        <v>0</v>
      </c>
      <c r="CC87" s="8">
        <f t="shared" si="7"/>
        <v>0</v>
      </c>
      <c r="CD87" s="9">
        <f t="shared" si="7"/>
        <v>0</v>
      </c>
    </row>
    <row r="88" spans="1:82" x14ac:dyDescent="0.3">
      <c r="I88" s="10">
        <v>0</v>
      </c>
      <c r="J88">
        <v>0</v>
      </c>
      <c r="K88" s="13">
        <v>0</v>
      </c>
      <c r="N88" s="12"/>
      <c r="Q88" s="10"/>
      <c r="CD88" s="12"/>
    </row>
    <row r="89" spans="1:82" ht="15" thickBot="1" x14ac:dyDescent="0.35">
      <c r="I89" s="10" cm="1">
        <f t="array" ref="I89:I152">TRANSPOSE(S87:CD87)</f>
        <v>0</v>
      </c>
      <c r="J89" cm="1">
        <f t="array" ref="J89:J152">TRANSPOSE(S89:CD89)</f>
        <v>0</v>
      </c>
      <c r="K89" s="13">
        <f>J89*$C$107</f>
        <v>0</v>
      </c>
      <c r="L89">
        <f>I89^3</f>
        <v>0</v>
      </c>
      <c r="M89">
        <f>L89*K89</f>
        <v>0</v>
      </c>
      <c r="N89" s="12">
        <f>(K89/50000000)*(I89/23)^3</f>
        <v>0</v>
      </c>
      <c r="Q89" s="14" t="s">
        <v>9</v>
      </c>
      <c r="R89" s="15" t="s">
        <v>16</v>
      </c>
      <c r="S89" s="15">
        <f>SUM(S97:S160)</f>
        <v>0</v>
      </c>
      <c r="T89" s="15">
        <f t="shared" ref="T89:CD89" si="8">SUM(T97:T160)</f>
        <v>0</v>
      </c>
      <c r="U89" s="15">
        <f t="shared" si="8"/>
        <v>0</v>
      </c>
      <c r="V89" s="15">
        <f t="shared" si="8"/>
        <v>0</v>
      </c>
      <c r="W89" s="15">
        <f t="shared" si="8"/>
        <v>0</v>
      </c>
      <c r="X89" s="15">
        <f t="shared" si="8"/>
        <v>0</v>
      </c>
      <c r="Y89" s="15">
        <f t="shared" si="8"/>
        <v>0</v>
      </c>
      <c r="Z89" s="15">
        <f t="shared" si="8"/>
        <v>0</v>
      </c>
      <c r="AA89" s="15">
        <f t="shared" si="8"/>
        <v>0</v>
      </c>
      <c r="AB89" s="15">
        <f t="shared" si="8"/>
        <v>0</v>
      </c>
      <c r="AC89" s="15">
        <f t="shared" si="8"/>
        <v>0</v>
      </c>
      <c r="AD89" s="15">
        <f t="shared" si="8"/>
        <v>0</v>
      </c>
      <c r="AE89" s="15">
        <f t="shared" si="8"/>
        <v>0</v>
      </c>
      <c r="AF89" s="15">
        <f t="shared" si="8"/>
        <v>0</v>
      </c>
      <c r="AG89" s="15">
        <f t="shared" si="8"/>
        <v>0</v>
      </c>
      <c r="AH89" s="15">
        <f t="shared" si="8"/>
        <v>0</v>
      </c>
      <c r="AI89" s="15">
        <f t="shared" si="8"/>
        <v>0</v>
      </c>
      <c r="AJ89" s="15">
        <f t="shared" si="8"/>
        <v>0</v>
      </c>
      <c r="AK89" s="15">
        <f t="shared" si="8"/>
        <v>0</v>
      </c>
      <c r="AL89" s="15">
        <f t="shared" si="8"/>
        <v>0</v>
      </c>
      <c r="AM89" s="15">
        <f t="shared" si="8"/>
        <v>0</v>
      </c>
      <c r="AN89" s="15">
        <f t="shared" si="8"/>
        <v>0</v>
      </c>
      <c r="AO89" s="15">
        <f t="shared" si="8"/>
        <v>0</v>
      </c>
      <c r="AP89" s="15">
        <f t="shared" si="8"/>
        <v>0</v>
      </c>
      <c r="AQ89" s="15">
        <f t="shared" si="8"/>
        <v>0</v>
      </c>
      <c r="AR89" s="15">
        <f t="shared" si="8"/>
        <v>0</v>
      </c>
      <c r="AS89" s="15">
        <f t="shared" si="8"/>
        <v>0</v>
      </c>
      <c r="AT89" s="15">
        <f t="shared" si="8"/>
        <v>0</v>
      </c>
      <c r="AU89" s="15">
        <f t="shared" si="8"/>
        <v>0</v>
      </c>
      <c r="AV89" s="15">
        <f t="shared" si="8"/>
        <v>0</v>
      </c>
      <c r="AW89" s="15">
        <f t="shared" si="8"/>
        <v>0</v>
      </c>
      <c r="AX89" s="15">
        <f t="shared" si="8"/>
        <v>0</v>
      </c>
      <c r="AY89" s="15">
        <f t="shared" si="8"/>
        <v>0</v>
      </c>
      <c r="AZ89" s="15">
        <f t="shared" si="8"/>
        <v>0</v>
      </c>
      <c r="BA89" s="15">
        <f t="shared" si="8"/>
        <v>0</v>
      </c>
      <c r="BB89" s="15">
        <f t="shared" si="8"/>
        <v>0</v>
      </c>
      <c r="BC89" s="15">
        <f t="shared" si="8"/>
        <v>0</v>
      </c>
      <c r="BD89" s="15">
        <f t="shared" si="8"/>
        <v>0</v>
      </c>
      <c r="BE89" s="15">
        <f t="shared" si="8"/>
        <v>0</v>
      </c>
      <c r="BF89" s="15">
        <f t="shared" si="8"/>
        <v>0</v>
      </c>
      <c r="BG89" s="15">
        <f t="shared" si="8"/>
        <v>0</v>
      </c>
      <c r="BH89" s="15">
        <f t="shared" si="8"/>
        <v>0</v>
      </c>
      <c r="BI89" s="15">
        <f t="shared" si="8"/>
        <v>0</v>
      </c>
      <c r="BJ89" s="15">
        <f t="shared" si="8"/>
        <v>0</v>
      </c>
      <c r="BK89" s="15">
        <f t="shared" si="8"/>
        <v>0</v>
      </c>
      <c r="BL89" s="15">
        <f t="shared" si="8"/>
        <v>0</v>
      </c>
      <c r="BM89" s="15">
        <f t="shared" si="8"/>
        <v>0</v>
      </c>
      <c r="BN89" s="15">
        <f t="shared" si="8"/>
        <v>0</v>
      </c>
      <c r="BO89" s="15">
        <f t="shared" si="8"/>
        <v>0</v>
      </c>
      <c r="BP89" s="15">
        <f t="shared" si="8"/>
        <v>0</v>
      </c>
      <c r="BQ89" s="15">
        <f t="shared" si="8"/>
        <v>0</v>
      </c>
      <c r="BR89" s="15">
        <f t="shared" si="8"/>
        <v>0</v>
      </c>
      <c r="BS89" s="15">
        <f t="shared" si="8"/>
        <v>0</v>
      </c>
      <c r="BT89" s="15">
        <f t="shared" si="8"/>
        <v>0</v>
      </c>
      <c r="BU89" s="15">
        <f t="shared" si="8"/>
        <v>0</v>
      </c>
      <c r="BV89" s="15">
        <f t="shared" si="8"/>
        <v>0</v>
      </c>
      <c r="BW89" s="15">
        <f t="shared" si="8"/>
        <v>0</v>
      </c>
      <c r="BX89" s="15">
        <f t="shared" si="8"/>
        <v>0</v>
      </c>
      <c r="BY89" s="15">
        <f t="shared" si="8"/>
        <v>0</v>
      </c>
      <c r="BZ89" s="15">
        <f t="shared" si="8"/>
        <v>0</v>
      </c>
      <c r="CA89" s="15">
        <f t="shared" si="8"/>
        <v>0</v>
      </c>
      <c r="CB89" s="15">
        <f t="shared" si="8"/>
        <v>0</v>
      </c>
      <c r="CC89" s="15">
        <f t="shared" si="8"/>
        <v>0</v>
      </c>
      <c r="CD89" s="16">
        <f t="shared" si="8"/>
        <v>0</v>
      </c>
    </row>
    <row r="90" spans="1:82" x14ac:dyDescent="0.3">
      <c r="B90" s="17" t="s">
        <v>17</v>
      </c>
      <c r="I90" s="10">
        <v>0</v>
      </c>
      <c r="J90">
        <v>0</v>
      </c>
      <c r="K90" s="13">
        <f t="shared" ref="K90:K152" si="9">J90*$C$107</f>
        <v>0</v>
      </c>
      <c r="L90">
        <f t="shared" ref="L90:L152" si="10">I90^3</f>
        <v>0</v>
      </c>
      <c r="M90">
        <f t="shared" ref="M90:M152" si="11">L90*K90</f>
        <v>0</v>
      </c>
      <c r="N90" s="12">
        <f t="shared" ref="N90:N152" si="12">(K90/50000000)*(I90/23)^3</f>
        <v>0</v>
      </c>
    </row>
    <row r="91" spans="1:82" x14ac:dyDescent="0.3">
      <c r="B91"/>
      <c r="I91" s="10">
        <v>0</v>
      </c>
      <c r="J91">
        <v>0</v>
      </c>
      <c r="K91" s="13">
        <f t="shared" si="9"/>
        <v>0</v>
      </c>
      <c r="L91">
        <f t="shared" si="10"/>
        <v>0</v>
      </c>
      <c r="M91">
        <f t="shared" si="11"/>
        <v>0</v>
      </c>
      <c r="N91" s="12">
        <f t="shared" si="12"/>
        <v>0</v>
      </c>
      <c r="O91" s="13"/>
    </row>
    <row r="92" spans="1:82" x14ac:dyDescent="0.3">
      <c r="B92"/>
      <c r="I92" s="10">
        <v>0</v>
      </c>
      <c r="J92">
        <v>0</v>
      </c>
      <c r="K92" s="13">
        <f t="shared" si="9"/>
        <v>0</v>
      </c>
      <c r="L92">
        <f t="shared" si="10"/>
        <v>0</v>
      </c>
      <c r="M92">
        <f t="shared" si="11"/>
        <v>0</v>
      </c>
      <c r="N92" s="12">
        <f t="shared" si="12"/>
        <v>0</v>
      </c>
      <c r="P92" s="18"/>
      <c r="Q92" s="6" t="s">
        <v>53</v>
      </c>
    </row>
    <row r="93" spans="1:82" x14ac:dyDescent="0.3">
      <c r="B93"/>
      <c r="I93" s="10">
        <v>0</v>
      </c>
      <c r="J93">
        <v>0</v>
      </c>
      <c r="K93" s="13">
        <f t="shared" si="9"/>
        <v>0</v>
      </c>
      <c r="L93">
        <f t="shared" si="10"/>
        <v>0</v>
      </c>
      <c r="M93">
        <f t="shared" si="11"/>
        <v>0</v>
      </c>
      <c r="N93" s="12">
        <f t="shared" si="12"/>
        <v>0</v>
      </c>
    </row>
    <row r="94" spans="1:82" ht="15" thickBot="1" x14ac:dyDescent="0.35">
      <c r="B94"/>
      <c r="I94" s="10">
        <v>0</v>
      </c>
      <c r="J94">
        <v>0</v>
      </c>
      <c r="K94" s="13">
        <f t="shared" si="9"/>
        <v>0</v>
      </c>
      <c r="L94">
        <f t="shared" si="10"/>
        <v>0</v>
      </c>
      <c r="M94">
        <f t="shared" si="11"/>
        <v>0</v>
      </c>
      <c r="N94" s="12">
        <f t="shared" si="12"/>
        <v>0</v>
      </c>
      <c r="S94" s="6"/>
    </row>
    <row r="95" spans="1:82" ht="15" thickBot="1" x14ac:dyDescent="0.35">
      <c r="B95" s="19" t="s">
        <v>49</v>
      </c>
      <c r="C95" s="8"/>
      <c r="D95" s="9"/>
      <c r="I95" s="10">
        <v>0</v>
      </c>
      <c r="J95">
        <v>0</v>
      </c>
      <c r="K95" s="13">
        <f t="shared" si="9"/>
        <v>0</v>
      </c>
      <c r="L95">
        <f t="shared" si="10"/>
        <v>0</v>
      </c>
      <c r="M95">
        <f t="shared" si="11"/>
        <v>0</v>
      </c>
      <c r="N95" s="12">
        <f t="shared" si="12"/>
        <v>0</v>
      </c>
      <c r="R95" s="45" t="s">
        <v>18</v>
      </c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/>
      <c r="BG95" s="20"/>
      <c r="BH95" s="20"/>
      <c r="BI95" s="20"/>
      <c r="BJ95" s="20"/>
      <c r="BK95" s="20"/>
      <c r="BL95" s="20"/>
      <c r="BM95" s="20"/>
      <c r="BN95" s="20"/>
      <c r="BO95" s="20"/>
      <c r="BP95" s="20"/>
      <c r="BQ95" s="20"/>
      <c r="BR95" s="20"/>
      <c r="BS95" s="20"/>
      <c r="BT95" s="20"/>
      <c r="BU95" s="20"/>
      <c r="BV95" s="20"/>
      <c r="BW95" s="20"/>
      <c r="BX95" s="20"/>
      <c r="BY95" s="20"/>
      <c r="BZ95" s="20"/>
      <c r="CA95" s="20"/>
      <c r="CB95" s="20"/>
      <c r="CC95" s="20"/>
      <c r="CD95" s="20"/>
    </row>
    <row r="96" spans="1:82" x14ac:dyDescent="0.3">
      <c r="B96" s="21" t="s">
        <v>19</v>
      </c>
      <c r="C96" s="22">
        <v>100000</v>
      </c>
      <c r="D96" s="12" t="s">
        <v>20</v>
      </c>
      <c r="I96" s="10">
        <v>0</v>
      </c>
      <c r="J96">
        <v>0</v>
      </c>
      <c r="K96" s="13">
        <f t="shared" si="9"/>
        <v>0</v>
      </c>
      <c r="L96">
        <f t="shared" si="10"/>
        <v>0</v>
      </c>
      <c r="M96">
        <f t="shared" si="11"/>
        <v>0</v>
      </c>
      <c r="N96" s="12">
        <f t="shared" si="12"/>
        <v>0</v>
      </c>
      <c r="Q96" s="45" t="s">
        <v>23</v>
      </c>
      <c r="R96" s="46" t="s">
        <v>54</v>
      </c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  <c r="BU96" s="8"/>
      <c r="BV96" s="8"/>
      <c r="BW96" s="8"/>
      <c r="BX96" s="8"/>
      <c r="BY96" s="8"/>
      <c r="BZ96" s="8"/>
      <c r="CA96" s="8"/>
      <c r="CB96" s="8"/>
      <c r="CC96" s="8"/>
      <c r="CD96" s="9"/>
    </row>
    <row r="97" spans="2:82" x14ac:dyDescent="0.3">
      <c r="B97" s="21" t="s">
        <v>21</v>
      </c>
      <c r="C97" s="23">
        <v>10600</v>
      </c>
      <c r="D97" s="12" t="s">
        <v>22</v>
      </c>
      <c r="I97" s="10">
        <v>0</v>
      </c>
      <c r="J97">
        <v>0</v>
      </c>
      <c r="K97" s="13">
        <f t="shared" si="9"/>
        <v>0</v>
      </c>
      <c r="L97">
        <f t="shared" si="10"/>
        <v>0</v>
      </c>
      <c r="M97">
        <f t="shared" si="11"/>
        <v>0</v>
      </c>
      <c r="N97" s="12">
        <f t="shared" si="12"/>
        <v>0</v>
      </c>
      <c r="Q97" s="20"/>
      <c r="R97" s="10"/>
      <c r="CD97" s="12"/>
    </row>
    <row r="98" spans="2:82" ht="15" thickBot="1" x14ac:dyDescent="0.35">
      <c r="B98" s="24" t="s">
        <v>24</v>
      </c>
      <c r="C98" s="25">
        <f>C96*C97</f>
        <v>1060000000</v>
      </c>
      <c r="D98" s="16" t="s">
        <v>25</v>
      </c>
      <c r="I98" s="10">
        <v>0</v>
      </c>
      <c r="J98">
        <v>0</v>
      </c>
      <c r="K98" s="13">
        <f t="shared" si="9"/>
        <v>0</v>
      </c>
      <c r="L98">
        <f t="shared" si="10"/>
        <v>0</v>
      </c>
      <c r="M98">
        <f t="shared" si="11"/>
        <v>0</v>
      </c>
      <c r="N98" s="12">
        <f t="shared" si="12"/>
        <v>0</v>
      </c>
      <c r="Q98" s="20"/>
      <c r="R98" s="10"/>
      <c r="CD98" s="12"/>
    </row>
    <row r="99" spans="2:82" ht="15" thickBot="1" x14ac:dyDescent="0.35">
      <c r="I99" s="10">
        <v>0</v>
      </c>
      <c r="J99">
        <v>0</v>
      </c>
      <c r="K99" s="13">
        <f t="shared" si="9"/>
        <v>0</v>
      </c>
      <c r="L99">
        <f t="shared" si="10"/>
        <v>0</v>
      </c>
      <c r="M99">
        <f t="shared" si="11"/>
        <v>0</v>
      </c>
      <c r="N99" s="12">
        <f t="shared" si="12"/>
        <v>0</v>
      </c>
      <c r="Q99" s="20"/>
      <c r="R99" s="10"/>
      <c r="CD99" s="12"/>
    </row>
    <row r="100" spans="2:82" x14ac:dyDescent="0.3">
      <c r="B100" s="19" t="s">
        <v>50</v>
      </c>
      <c r="C100" s="8"/>
      <c r="D100" s="9"/>
      <c r="I100" s="10">
        <v>0</v>
      </c>
      <c r="J100">
        <v>0</v>
      </c>
      <c r="K100" s="13">
        <f t="shared" si="9"/>
        <v>0</v>
      </c>
      <c r="L100">
        <f t="shared" si="10"/>
        <v>0</v>
      </c>
      <c r="M100">
        <f t="shared" si="11"/>
        <v>0</v>
      </c>
      <c r="N100" s="12">
        <f t="shared" si="12"/>
        <v>0</v>
      </c>
      <c r="Q100" s="20"/>
      <c r="R100" s="10"/>
      <c r="CD100" s="12"/>
    </row>
    <row r="101" spans="2:82" x14ac:dyDescent="0.3">
      <c r="B101" s="21" t="s">
        <v>26</v>
      </c>
      <c r="C101" s="22">
        <v>6706</v>
      </c>
      <c r="D101" s="26" t="s">
        <v>27</v>
      </c>
      <c r="I101" s="10">
        <v>0</v>
      </c>
      <c r="J101">
        <v>0</v>
      </c>
      <c r="K101" s="13">
        <f t="shared" si="9"/>
        <v>0</v>
      </c>
      <c r="L101">
        <f t="shared" si="10"/>
        <v>0</v>
      </c>
      <c r="M101">
        <f t="shared" si="11"/>
        <v>0</v>
      </c>
      <c r="N101" s="12">
        <f t="shared" si="12"/>
        <v>0</v>
      </c>
      <c r="Q101" s="20"/>
      <c r="R101" s="10"/>
      <c r="CD101" s="12"/>
    </row>
    <row r="102" spans="2:82" x14ac:dyDescent="0.3">
      <c r="B102" s="21" t="s">
        <v>26</v>
      </c>
      <c r="C102" s="27">
        <f>C101/(60*60)</f>
        <v>1.8627777777777779</v>
      </c>
      <c r="D102" s="12" t="s">
        <v>28</v>
      </c>
      <c r="I102" s="10">
        <v>0</v>
      </c>
      <c r="J102">
        <v>0</v>
      </c>
      <c r="K102" s="13">
        <f t="shared" si="9"/>
        <v>0</v>
      </c>
      <c r="L102">
        <f t="shared" si="10"/>
        <v>0</v>
      </c>
      <c r="M102">
        <f t="shared" si="11"/>
        <v>0</v>
      </c>
      <c r="N102" s="12">
        <f t="shared" si="12"/>
        <v>0</v>
      </c>
      <c r="Q102" s="20"/>
      <c r="R102" s="10"/>
      <c r="CD102" s="12"/>
    </row>
    <row r="103" spans="2:82" x14ac:dyDescent="0.3">
      <c r="B103" s="21" t="s">
        <v>29</v>
      </c>
      <c r="C103" s="22">
        <v>6994</v>
      </c>
      <c r="D103" s="26" t="s">
        <v>22</v>
      </c>
      <c r="I103" s="10">
        <v>0</v>
      </c>
      <c r="J103">
        <v>0</v>
      </c>
      <c r="K103" s="13">
        <f t="shared" si="9"/>
        <v>0</v>
      </c>
      <c r="L103">
        <f t="shared" si="10"/>
        <v>0</v>
      </c>
      <c r="M103">
        <f t="shared" si="11"/>
        <v>0</v>
      </c>
      <c r="N103" s="12">
        <f t="shared" si="12"/>
        <v>0</v>
      </c>
      <c r="Q103" s="20"/>
      <c r="R103" s="10"/>
      <c r="CD103" s="12"/>
    </row>
    <row r="104" spans="2:82" ht="15" thickBot="1" x14ac:dyDescent="0.35">
      <c r="B104" s="24" t="s">
        <v>30</v>
      </c>
      <c r="C104" s="28">
        <f>C102*C103</f>
        <v>13028.267777777779</v>
      </c>
      <c r="D104" s="16" t="s">
        <v>25</v>
      </c>
      <c r="I104" s="10">
        <v>0</v>
      </c>
      <c r="J104">
        <v>0</v>
      </c>
      <c r="K104" s="13">
        <f t="shared" si="9"/>
        <v>0</v>
      </c>
      <c r="L104">
        <f t="shared" si="10"/>
        <v>0</v>
      </c>
      <c r="M104">
        <f t="shared" si="11"/>
        <v>0</v>
      </c>
      <c r="N104" s="12">
        <f t="shared" si="12"/>
        <v>0</v>
      </c>
      <c r="Q104" s="20"/>
      <c r="R104" s="10"/>
      <c r="CD104" s="12"/>
    </row>
    <row r="105" spans="2:82" ht="15" thickBot="1" x14ac:dyDescent="0.35">
      <c r="I105" s="10">
        <v>0</v>
      </c>
      <c r="J105">
        <v>0</v>
      </c>
      <c r="K105" s="13">
        <f t="shared" si="9"/>
        <v>0</v>
      </c>
      <c r="L105">
        <f t="shared" si="10"/>
        <v>0</v>
      </c>
      <c r="M105">
        <f t="shared" si="11"/>
        <v>0</v>
      </c>
      <c r="N105" s="12">
        <f t="shared" si="12"/>
        <v>0</v>
      </c>
      <c r="Q105" s="20"/>
      <c r="R105" s="10"/>
      <c r="CD105" s="12"/>
    </row>
    <row r="106" spans="2:82" x14ac:dyDescent="0.3">
      <c r="B106" s="19" t="s">
        <v>51</v>
      </c>
      <c r="C106" s="8"/>
      <c r="D106" s="9"/>
      <c r="I106" s="10">
        <v>0</v>
      </c>
      <c r="J106">
        <v>0</v>
      </c>
      <c r="K106" s="13">
        <f t="shared" si="9"/>
        <v>0</v>
      </c>
      <c r="L106">
        <f t="shared" si="10"/>
        <v>0</v>
      </c>
      <c r="M106">
        <f t="shared" si="11"/>
        <v>0</v>
      </c>
      <c r="N106" s="12">
        <f t="shared" si="12"/>
        <v>0</v>
      </c>
      <c r="Q106" s="20"/>
      <c r="R106" s="10"/>
      <c r="CD106" s="12"/>
    </row>
    <row r="107" spans="2:82" ht="15" thickBot="1" x14ac:dyDescent="0.35">
      <c r="B107" s="24" t="s">
        <v>31</v>
      </c>
      <c r="C107" s="29">
        <f>C98/C104</f>
        <v>81361.545378122653</v>
      </c>
      <c r="D107" s="16"/>
      <c r="I107" s="10">
        <v>0</v>
      </c>
      <c r="J107">
        <v>0</v>
      </c>
      <c r="K107" s="13">
        <f t="shared" si="9"/>
        <v>0</v>
      </c>
      <c r="L107">
        <f t="shared" si="10"/>
        <v>0</v>
      </c>
      <c r="M107">
        <f t="shared" si="11"/>
        <v>0</v>
      </c>
      <c r="N107" s="12">
        <f t="shared" si="12"/>
        <v>0</v>
      </c>
      <c r="Q107" s="20"/>
      <c r="R107" s="10"/>
      <c r="CD107" s="12"/>
    </row>
    <row r="108" spans="2:82" ht="15" thickBot="1" x14ac:dyDescent="0.35">
      <c r="C108" s="30"/>
      <c r="I108" s="10">
        <v>0</v>
      </c>
      <c r="J108">
        <v>0</v>
      </c>
      <c r="K108" s="13">
        <f t="shared" si="9"/>
        <v>0</v>
      </c>
      <c r="L108">
        <f t="shared" si="10"/>
        <v>0</v>
      </c>
      <c r="M108">
        <f t="shared" si="11"/>
        <v>0</v>
      </c>
      <c r="N108" s="12">
        <f t="shared" si="12"/>
        <v>0</v>
      </c>
      <c r="Q108" s="20"/>
      <c r="R108" s="10"/>
      <c r="CD108" s="12"/>
    </row>
    <row r="109" spans="2:82" x14ac:dyDescent="0.3">
      <c r="B109" s="31" t="s">
        <v>52</v>
      </c>
      <c r="C109" s="8"/>
      <c r="D109" s="9"/>
      <c r="I109" s="10">
        <v>0</v>
      </c>
      <c r="J109">
        <v>0</v>
      </c>
      <c r="K109" s="13">
        <f t="shared" si="9"/>
        <v>0</v>
      </c>
      <c r="L109">
        <f t="shared" si="10"/>
        <v>0</v>
      </c>
      <c r="M109">
        <f t="shared" si="11"/>
        <v>0</v>
      </c>
      <c r="N109" s="12">
        <f t="shared" si="12"/>
        <v>0</v>
      </c>
      <c r="Q109" s="20"/>
      <c r="R109" s="10"/>
      <c r="CD109" s="12"/>
    </row>
    <row r="110" spans="2:82" x14ac:dyDescent="0.3">
      <c r="B110" s="21" t="s">
        <v>32</v>
      </c>
      <c r="C110" s="32">
        <v>205.9</v>
      </c>
      <c r="D110" s="12" t="s">
        <v>14</v>
      </c>
      <c r="I110" s="10">
        <v>0</v>
      </c>
      <c r="J110">
        <v>0</v>
      </c>
      <c r="K110" s="13">
        <f t="shared" si="9"/>
        <v>0</v>
      </c>
      <c r="L110">
        <f t="shared" si="10"/>
        <v>0</v>
      </c>
      <c r="M110">
        <f t="shared" si="11"/>
        <v>0</v>
      </c>
      <c r="N110" s="12">
        <f t="shared" si="12"/>
        <v>0</v>
      </c>
      <c r="Q110" s="20"/>
      <c r="R110" s="10"/>
      <c r="CD110" s="12"/>
    </row>
    <row r="111" spans="2:82" x14ac:dyDescent="0.3">
      <c r="B111" s="21" t="s">
        <v>33</v>
      </c>
      <c r="C111" s="27">
        <f>0.7*C110</f>
        <v>144.13</v>
      </c>
      <c r="D111" s="12" t="s">
        <v>14</v>
      </c>
      <c r="I111" s="10">
        <v>0</v>
      </c>
      <c r="J111">
        <v>0</v>
      </c>
      <c r="K111" s="13">
        <f t="shared" si="9"/>
        <v>0</v>
      </c>
      <c r="L111">
        <f t="shared" si="10"/>
        <v>0</v>
      </c>
      <c r="M111">
        <f t="shared" si="11"/>
        <v>0</v>
      </c>
      <c r="N111" s="12">
        <f t="shared" si="12"/>
        <v>0</v>
      </c>
      <c r="Q111" s="20"/>
      <c r="R111" s="10"/>
      <c r="CD111" s="12"/>
    </row>
    <row r="112" spans="2:82" ht="15" thickBot="1" x14ac:dyDescent="0.35">
      <c r="B112" s="24" t="s">
        <v>34</v>
      </c>
      <c r="C112" s="33">
        <f>1446608*2</f>
        <v>2893216</v>
      </c>
      <c r="D112" s="16"/>
      <c r="I112" s="10">
        <v>0</v>
      </c>
      <c r="J112">
        <v>0</v>
      </c>
      <c r="K112" s="13">
        <f t="shared" si="9"/>
        <v>0</v>
      </c>
      <c r="L112">
        <f t="shared" si="10"/>
        <v>0</v>
      </c>
      <c r="M112">
        <f t="shared" si="11"/>
        <v>0</v>
      </c>
      <c r="N112" s="12">
        <f t="shared" si="12"/>
        <v>0</v>
      </c>
      <c r="Q112" s="20"/>
      <c r="R112" s="10"/>
      <c r="CD112" s="12"/>
    </row>
    <row r="113" spans="1:82" x14ac:dyDescent="0.3">
      <c r="I113" s="10">
        <v>0</v>
      </c>
      <c r="J113">
        <v>0</v>
      </c>
      <c r="K113" s="13">
        <f t="shared" si="9"/>
        <v>0</v>
      </c>
      <c r="L113">
        <f t="shared" si="10"/>
        <v>0</v>
      </c>
      <c r="M113">
        <f t="shared" si="11"/>
        <v>0</v>
      </c>
      <c r="N113" s="12">
        <f t="shared" si="12"/>
        <v>0</v>
      </c>
      <c r="Q113" s="20"/>
      <c r="R113" s="10"/>
      <c r="CD113" s="12"/>
    </row>
    <row r="114" spans="1:82" x14ac:dyDescent="0.3">
      <c r="I114" s="10">
        <v>0</v>
      </c>
      <c r="J114">
        <v>0</v>
      </c>
      <c r="K114" s="13">
        <f t="shared" si="9"/>
        <v>0</v>
      </c>
      <c r="L114">
        <f t="shared" si="10"/>
        <v>0</v>
      </c>
      <c r="M114">
        <f t="shared" si="11"/>
        <v>0</v>
      </c>
      <c r="N114" s="12">
        <f t="shared" si="12"/>
        <v>0</v>
      </c>
      <c r="Q114" s="20"/>
      <c r="R114" s="10"/>
      <c r="CD114" s="12"/>
    </row>
    <row r="115" spans="1:82" x14ac:dyDescent="0.3">
      <c r="I115" s="10">
        <v>0</v>
      </c>
      <c r="J115">
        <v>0</v>
      </c>
      <c r="K115" s="13">
        <f t="shared" si="9"/>
        <v>0</v>
      </c>
      <c r="L115">
        <f t="shared" si="10"/>
        <v>0</v>
      </c>
      <c r="M115">
        <f t="shared" si="11"/>
        <v>0</v>
      </c>
      <c r="N115" s="12">
        <f t="shared" si="12"/>
        <v>0</v>
      </c>
      <c r="Q115" s="20"/>
      <c r="R115" s="10"/>
      <c r="CD115" s="12"/>
    </row>
    <row r="116" spans="1:82" x14ac:dyDescent="0.3">
      <c r="I116" s="10">
        <v>0</v>
      </c>
      <c r="J116">
        <v>0</v>
      </c>
      <c r="K116" s="13">
        <f t="shared" si="9"/>
        <v>0</v>
      </c>
      <c r="L116">
        <f t="shared" si="10"/>
        <v>0</v>
      </c>
      <c r="M116">
        <f t="shared" si="11"/>
        <v>0</v>
      </c>
      <c r="N116" s="12">
        <f t="shared" si="12"/>
        <v>0</v>
      </c>
      <c r="Q116" s="20"/>
      <c r="R116" s="10"/>
      <c r="CD116" s="12"/>
    </row>
    <row r="117" spans="1:82" ht="15" thickBot="1" x14ac:dyDescent="0.35">
      <c r="I117" s="10">
        <v>0</v>
      </c>
      <c r="J117">
        <v>0</v>
      </c>
      <c r="K117" s="13">
        <f t="shared" si="9"/>
        <v>0</v>
      </c>
      <c r="L117">
        <f t="shared" si="10"/>
        <v>0</v>
      </c>
      <c r="M117">
        <f t="shared" si="11"/>
        <v>0</v>
      </c>
      <c r="N117" s="12">
        <f t="shared" si="12"/>
        <v>0</v>
      </c>
      <c r="O117" s="13"/>
      <c r="Q117" s="20"/>
      <c r="R117" s="10"/>
      <c r="CD117" s="12"/>
    </row>
    <row r="118" spans="1:82" x14ac:dyDescent="0.3">
      <c r="B118" s="19" t="s">
        <v>35</v>
      </c>
      <c r="C118" s="8"/>
      <c r="D118" s="9"/>
      <c r="I118" s="10">
        <v>0</v>
      </c>
      <c r="J118">
        <v>0</v>
      </c>
      <c r="K118" s="13">
        <f t="shared" si="9"/>
        <v>0</v>
      </c>
      <c r="L118">
        <f t="shared" si="10"/>
        <v>0</v>
      </c>
      <c r="M118">
        <f t="shared" si="11"/>
        <v>0</v>
      </c>
      <c r="N118" s="12">
        <f t="shared" si="12"/>
        <v>0</v>
      </c>
      <c r="P118" s="18"/>
      <c r="Q118" s="20"/>
      <c r="R118" s="10"/>
      <c r="CD118" s="12"/>
    </row>
    <row r="119" spans="1:82" x14ac:dyDescent="0.3">
      <c r="B119" s="34" t="s">
        <v>36</v>
      </c>
      <c r="C119" s="35">
        <f>C112</f>
        <v>2893216</v>
      </c>
      <c r="D119" s="12"/>
      <c r="I119" s="10">
        <v>0</v>
      </c>
      <c r="J119">
        <v>0</v>
      </c>
      <c r="K119" s="13">
        <f t="shared" si="9"/>
        <v>0</v>
      </c>
      <c r="L119">
        <f t="shared" si="10"/>
        <v>0</v>
      </c>
      <c r="M119">
        <f t="shared" si="11"/>
        <v>0</v>
      </c>
      <c r="N119" s="12">
        <f t="shared" si="12"/>
        <v>0</v>
      </c>
      <c r="Q119" s="20"/>
      <c r="R119" s="10"/>
      <c r="CD119" s="12"/>
    </row>
    <row r="120" spans="1:82" ht="15" thickBot="1" x14ac:dyDescent="0.35">
      <c r="B120" s="36" t="s">
        <v>37</v>
      </c>
      <c r="C120" s="37">
        <f>(SUM(M89:M152)/C119)^(1/3)</f>
        <v>0</v>
      </c>
      <c r="D120" s="16" t="s">
        <v>14</v>
      </c>
      <c r="I120" s="10">
        <v>0</v>
      </c>
      <c r="J120">
        <v>0</v>
      </c>
      <c r="K120" s="13">
        <f t="shared" si="9"/>
        <v>0</v>
      </c>
      <c r="L120">
        <f t="shared" si="10"/>
        <v>0</v>
      </c>
      <c r="M120">
        <f t="shared" si="11"/>
        <v>0</v>
      </c>
      <c r="N120" s="12">
        <f t="shared" si="12"/>
        <v>0</v>
      </c>
      <c r="Q120" s="20"/>
      <c r="R120" s="10"/>
      <c r="CD120" s="12"/>
    </row>
    <row r="121" spans="1:82" x14ac:dyDescent="0.3">
      <c r="I121" s="10">
        <v>0</v>
      </c>
      <c r="J121">
        <v>0</v>
      </c>
      <c r="K121" s="13">
        <f t="shared" si="9"/>
        <v>0</v>
      </c>
      <c r="L121">
        <f t="shared" si="10"/>
        <v>0</v>
      </c>
      <c r="M121">
        <f t="shared" si="11"/>
        <v>0</v>
      </c>
      <c r="N121" s="12">
        <f t="shared" si="12"/>
        <v>0</v>
      </c>
      <c r="Q121" s="20"/>
      <c r="R121" s="10"/>
      <c r="CD121" s="12"/>
    </row>
    <row r="122" spans="1:82" x14ac:dyDescent="0.3">
      <c r="A122" s="1"/>
      <c r="C122" s="38"/>
      <c r="D122" s="38"/>
      <c r="E122" s="38"/>
      <c r="I122" s="10">
        <v>0</v>
      </c>
      <c r="J122">
        <v>0</v>
      </c>
      <c r="K122" s="13">
        <f t="shared" si="9"/>
        <v>0</v>
      </c>
      <c r="L122">
        <f t="shared" si="10"/>
        <v>0</v>
      </c>
      <c r="M122">
        <f t="shared" si="11"/>
        <v>0</v>
      </c>
      <c r="N122" s="12">
        <f t="shared" si="12"/>
        <v>0</v>
      </c>
      <c r="Q122" s="20"/>
      <c r="R122" s="10"/>
      <c r="CD122" s="12"/>
    </row>
    <row r="123" spans="1:82" ht="15" thickBot="1" x14ac:dyDescent="0.35">
      <c r="A123" s="1"/>
      <c r="C123" s="38"/>
      <c r="D123" s="38"/>
      <c r="E123" s="38"/>
      <c r="I123" s="10">
        <v>0</v>
      </c>
      <c r="J123">
        <v>0</v>
      </c>
      <c r="K123" s="13">
        <f t="shared" si="9"/>
        <v>0</v>
      </c>
      <c r="L123">
        <f t="shared" si="10"/>
        <v>0</v>
      </c>
      <c r="M123">
        <f t="shared" si="11"/>
        <v>0</v>
      </c>
      <c r="N123" s="12">
        <f t="shared" si="12"/>
        <v>0</v>
      </c>
      <c r="Q123" s="20"/>
      <c r="R123" s="10"/>
      <c r="CD123" s="12"/>
    </row>
    <row r="124" spans="1:82" x14ac:dyDescent="0.3">
      <c r="B124" s="31" t="s">
        <v>38</v>
      </c>
      <c r="C124" s="39"/>
      <c r="D124" s="40"/>
      <c r="I124" s="10">
        <v>0</v>
      </c>
      <c r="J124">
        <v>0</v>
      </c>
      <c r="K124" s="13">
        <f t="shared" si="9"/>
        <v>0</v>
      </c>
      <c r="L124">
        <f t="shared" si="10"/>
        <v>0</v>
      </c>
      <c r="M124">
        <f t="shared" si="11"/>
        <v>0</v>
      </c>
      <c r="N124" s="12">
        <f t="shared" si="12"/>
        <v>0</v>
      </c>
      <c r="Q124" s="20"/>
      <c r="R124" s="10"/>
      <c r="CD124" s="12"/>
    </row>
    <row r="125" spans="1:82" x14ac:dyDescent="0.3">
      <c r="B125" s="21" t="s">
        <v>39</v>
      </c>
      <c r="C125" s="35">
        <f>C111</f>
        <v>144.13</v>
      </c>
      <c r="D125" s="12"/>
      <c r="F125" s="42"/>
      <c r="I125" s="10">
        <v>0</v>
      </c>
      <c r="J125">
        <v>0</v>
      </c>
      <c r="K125" s="13">
        <f t="shared" si="9"/>
        <v>0</v>
      </c>
      <c r="L125">
        <f t="shared" si="10"/>
        <v>0</v>
      </c>
      <c r="M125">
        <f t="shared" si="11"/>
        <v>0</v>
      </c>
      <c r="N125" s="12">
        <f t="shared" si="12"/>
        <v>0</v>
      </c>
      <c r="Q125" s="20"/>
      <c r="R125" s="10"/>
      <c r="CD125" s="12"/>
    </row>
    <row r="126" spans="1:82" ht="15" thickBot="1" x14ac:dyDescent="0.35">
      <c r="B126" s="24" t="s">
        <v>40</v>
      </c>
      <c r="C126" s="43">
        <f>C120</f>
        <v>0</v>
      </c>
      <c r="D126" s="16"/>
      <c r="I126" s="10">
        <v>0</v>
      </c>
      <c r="J126">
        <v>0</v>
      </c>
      <c r="K126" s="13">
        <f t="shared" si="9"/>
        <v>0</v>
      </c>
      <c r="L126">
        <f t="shared" si="10"/>
        <v>0</v>
      </c>
      <c r="M126">
        <f t="shared" si="11"/>
        <v>0</v>
      </c>
      <c r="N126" s="12">
        <f t="shared" si="12"/>
        <v>0</v>
      </c>
      <c r="Q126" s="20"/>
      <c r="R126" s="10"/>
      <c r="CD126" s="12"/>
    </row>
    <row r="127" spans="1:82" x14ac:dyDescent="0.3">
      <c r="I127" s="10">
        <v>0</v>
      </c>
      <c r="J127">
        <v>0</v>
      </c>
      <c r="K127" s="13">
        <f t="shared" si="9"/>
        <v>0</v>
      </c>
      <c r="L127">
        <f t="shared" si="10"/>
        <v>0</v>
      </c>
      <c r="M127">
        <f t="shared" si="11"/>
        <v>0</v>
      </c>
      <c r="N127" s="12">
        <f t="shared" si="12"/>
        <v>0</v>
      </c>
      <c r="Q127" s="20"/>
      <c r="R127" s="10"/>
      <c r="CD127" s="12"/>
    </row>
    <row r="128" spans="1:82" x14ac:dyDescent="0.3">
      <c r="I128" s="10">
        <v>0</v>
      </c>
      <c r="J128">
        <v>0</v>
      </c>
      <c r="K128" s="13">
        <f t="shared" si="9"/>
        <v>0</v>
      </c>
      <c r="L128">
        <f t="shared" si="10"/>
        <v>0</v>
      </c>
      <c r="M128">
        <f t="shared" si="11"/>
        <v>0</v>
      </c>
      <c r="N128" s="12">
        <f t="shared" si="12"/>
        <v>0</v>
      </c>
      <c r="Q128" s="20"/>
      <c r="R128" s="10"/>
      <c r="CD128" s="12"/>
    </row>
    <row r="129" spans="2:82" x14ac:dyDescent="0.3">
      <c r="B129"/>
      <c r="I129" s="10">
        <v>0</v>
      </c>
      <c r="J129">
        <v>0</v>
      </c>
      <c r="K129" s="13">
        <f t="shared" si="9"/>
        <v>0</v>
      </c>
      <c r="L129">
        <f t="shared" si="10"/>
        <v>0</v>
      </c>
      <c r="M129">
        <f t="shared" si="11"/>
        <v>0</v>
      </c>
      <c r="N129" s="12">
        <f t="shared" si="12"/>
        <v>0</v>
      </c>
      <c r="Q129" s="20"/>
      <c r="R129" s="10"/>
      <c r="CD129" s="12"/>
    </row>
    <row r="130" spans="2:82" x14ac:dyDescent="0.3">
      <c r="B130"/>
      <c r="I130" s="10">
        <v>0</v>
      </c>
      <c r="J130">
        <v>0</v>
      </c>
      <c r="K130" s="13">
        <f t="shared" si="9"/>
        <v>0</v>
      </c>
      <c r="L130">
        <f t="shared" si="10"/>
        <v>0</v>
      </c>
      <c r="M130">
        <f t="shared" si="11"/>
        <v>0</v>
      </c>
      <c r="N130" s="12">
        <f t="shared" si="12"/>
        <v>0</v>
      </c>
      <c r="Q130" s="20"/>
      <c r="R130" s="10"/>
      <c r="CD130" s="12"/>
    </row>
    <row r="131" spans="2:82" x14ac:dyDescent="0.3">
      <c r="B131"/>
      <c r="I131" s="10">
        <v>0</v>
      </c>
      <c r="J131">
        <v>0</v>
      </c>
      <c r="K131" s="13">
        <f t="shared" si="9"/>
        <v>0</v>
      </c>
      <c r="L131">
        <f t="shared" si="10"/>
        <v>0</v>
      </c>
      <c r="M131">
        <f t="shared" si="11"/>
        <v>0</v>
      </c>
      <c r="N131" s="12">
        <f t="shared" si="12"/>
        <v>0</v>
      </c>
      <c r="Q131" s="20"/>
      <c r="R131" s="10"/>
      <c r="CD131" s="12"/>
    </row>
    <row r="132" spans="2:82" x14ac:dyDescent="0.3">
      <c r="B132"/>
      <c r="I132" s="10">
        <v>0</v>
      </c>
      <c r="J132">
        <v>0</v>
      </c>
      <c r="K132" s="13">
        <f t="shared" si="9"/>
        <v>0</v>
      </c>
      <c r="L132">
        <f t="shared" si="10"/>
        <v>0</v>
      </c>
      <c r="M132">
        <f t="shared" si="11"/>
        <v>0</v>
      </c>
      <c r="N132" s="12">
        <f t="shared" si="12"/>
        <v>0</v>
      </c>
      <c r="Q132" s="20"/>
      <c r="R132" s="10"/>
      <c r="CD132" s="12"/>
    </row>
    <row r="133" spans="2:82" x14ac:dyDescent="0.3">
      <c r="B133"/>
      <c r="I133" s="10">
        <v>0</v>
      </c>
      <c r="J133">
        <v>0</v>
      </c>
      <c r="K133" s="13">
        <f t="shared" si="9"/>
        <v>0</v>
      </c>
      <c r="L133">
        <f t="shared" si="10"/>
        <v>0</v>
      </c>
      <c r="M133">
        <f t="shared" si="11"/>
        <v>0</v>
      </c>
      <c r="N133" s="12">
        <f t="shared" si="12"/>
        <v>0</v>
      </c>
      <c r="Q133" s="20"/>
      <c r="R133" s="10"/>
      <c r="CD133" s="12"/>
    </row>
    <row r="134" spans="2:82" x14ac:dyDescent="0.3">
      <c r="B134"/>
      <c r="I134" s="10">
        <v>0</v>
      </c>
      <c r="J134">
        <v>0</v>
      </c>
      <c r="K134" s="13">
        <f t="shared" si="9"/>
        <v>0</v>
      </c>
      <c r="L134">
        <f t="shared" si="10"/>
        <v>0</v>
      </c>
      <c r="M134">
        <f t="shared" si="11"/>
        <v>0</v>
      </c>
      <c r="N134" s="12">
        <f t="shared" si="12"/>
        <v>0</v>
      </c>
      <c r="Q134" s="20"/>
      <c r="R134" s="10"/>
      <c r="CD134" s="12"/>
    </row>
    <row r="135" spans="2:82" x14ac:dyDescent="0.3">
      <c r="B135"/>
      <c r="I135" s="10">
        <v>0</v>
      </c>
      <c r="J135">
        <v>0</v>
      </c>
      <c r="K135" s="13">
        <f t="shared" si="9"/>
        <v>0</v>
      </c>
      <c r="L135">
        <f t="shared" si="10"/>
        <v>0</v>
      </c>
      <c r="M135">
        <f t="shared" si="11"/>
        <v>0</v>
      </c>
      <c r="N135" s="12">
        <f t="shared" si="12"/>
        <v>0</v>
      </c>
      <c r="Q135" s="20"/>
      <c r="R135" s="10"/>
      <c r="CD135" s="12"/>
    </row>
    <row r="136" spans="2:82" x14ac:dyDescent="0.3">
      <c r="B136"/>
      <c r="I136" s="10">
        <v>0</v>
      </c>
      <c r="J136">
        <v>0</v>
      </c>
      <c r="K136" s="13">
        <f t="shared" si="9"/>
        <v>0</v>
      </c>
      <c r="L136">
        <f t="shared" si="10"/>
        <v>0</v>
      </c>
      <c r="M136">
        <f t="shared" si="11"/>
        <v>0</v>
      </c>
      <c r="N136" s="12">
        <f t="shared" si="12"/>
        <v>0</v>
      </c>
      <c r="Q136" s="20"/>
      <c r="R136" s="10"/>
      <c r="CD136" s="12"/>
    </row>
    <row r="137" spans="2:82" x14ac:dyDescent="0.3">
      <c r="B137"/>
      <c r="I137" s="10">
        <v>0</v>
      </c>
      <c r="J137">
        <v>0</v>
      </c>
      <c r="K137" s="13">
        <f t="shared" si="9"/>
        <v>0</v>
      </c>
      <c r="L137">
        <f t="shared" si="10"/>
        <v>0</v>
      </c>
      <c r="M137">
        <f t="shared" si="11"/>
        <v>0</v>
      </c>
      <c r="N137" s="12">
        <f t="shared" si="12"/>
        <v>0</v>
      </c>
      <c r="Q137" s="20"/>
      <c r="R137" s="10"/>
      <c r="CD137" s="12"/>
    </row>
    <row r="138" spans="2:82" x14ac:dyDescent="0.3">
      <c r="B138"/>
      <c r="I138" s="10">
        <v>0</v>
      </c>
      <c r="J138">
        <v>0</v>
      </c>
      <c r="K138" s="13">
        <f t="shared" si="9"/>
        <v>0</v>
      </c>
      <c r="L138">
        <f t="shared" si="10"/>
        <v>0</v>
      </c>
      <c r="M138">
        <f t="shared" si="11"/>
        <v>0</v>
      </c>
      <c r="N138" s="12">
        <f t="shared" si="12"/>
        <v>0</v>
      </c>
      <c r="Q138" s="20"/>
      <c r="R138" s="10"/>
      <c r="CD138" s="12"/>
    </row>
    <row r="139" spans="2:82" x14ac:dyDescent="0.3">
      <c r="B139"/>
      <c r="I139" s="10">
        <v>0</v>
      </c>
      <c r="J139">
        <v>0</v>
      </c>
      <c r="K139" s="13">
        <f t="shared" si="9"/>
        <v>0</v>
      </c>
      <c r="L139">
        <f t="shared" si="10"/>
        <v>0</v>
      </c>
      <c r="M139">
        <f t="shared" si="11"/>
        <v>0</v>
      </c>
      <c r="N139" s="12">
        <f t="shared" si="12"/>
        <v>0</v>
      </c>
      <c r="Q139" s="20"/>
      <c r="R139" s="10"/>
      <c r="CD139" s="12"/>
    </row>
    <row r="140" spans="2:82" x14ac:dyDescent="0.3">
      <c r="B140"/>
      <c r="I140" s="10">
        <v>0</v>
      </c>
      <c r="J140">
        <v>0</v>
      </c>
      <c r="K140" s="13">
        <f t="shared" si="9"/>
        <v>0</v>
      </c>
      <c r="L140">
        <f t="shared" si="10"/>
        <v>0</v>
      </c>
      <c r="M140">
        <f t="shared" si="11"/>
        <v>0</v>
      </c>
      <c r="N140" s="12">
        <f t="shared" si="12"/>
        <v>0</v>
      </c>
      <c r="Q140" s="20"/>
      <c r="R140" s="10"/>
      <c r="CD140" s="12"/>
    </row>
    <row r="141" spans="2:82" x14ac:dyDescent="0.3">
      <c r="B141"/>
      <c r="I141" s="10">
        <v>0</v>
      </c>
      <c r="J141">
        <v>0</v>
      </c>
      <c r="K141" s="13">
        <f t="shared" si="9"/>
        <v>0</v>
      </c>
      <c r="L141">
        <f t="shared" si="10"/>
        <v>0</v>
      </c>
      <c r="M141">
        <f t="shared" si="11"/>
        <v>0</v>
      </c>
      <c r="N141" s="12">
        <f t="shared" si="12"/>
        <v>0</v>
      </c>
      <c r="Q141" s="20"/>
      <c r="R141" s="10"/>
      <c r="CD141" s="12"/>
    </row>
    <row r="142" spans="2:82" x14ac:dyDescent="0.3">
      <c r="B142"/>
      <c r="I142" s="10">
        <v>0</v>
      </c>
      <c r="J142">
        <v>0</v>
      </c>
      <c r="K142" s="13">
        <f t="shared" si="9"/>
        <v>0</v>
      </c>
      <c r="L142">
        <f t="shared" si="10"/>
        <v>0</v>
      </c>
      <c r="M142">
        <f t="shared" si="11"/>
        <v>0</v>
      </c>
      <c r="N142" s="12">
        <f t="shared" si="12"/>
        <v>0</v>
      </c>
      <c r="Q142" s="20"/>
      <c r="R142" s="10"/>
      <c r="CD142" s="12"/>
    </row>
    <row r="143" spans="2:82" x14ac:dyDescent="0.3">
      <c r="B143"/>
      <c r="I143" s="10">
        <v>0</v>
      </c>
      <c r="J143">
        <v>0</v>
      </c>
      <c r="K143" s="13">
        <f t="shared" si="9"/>
        <v>0</v>
      </c>
      <c r="L143">
        <f t="shared" si="10"/>
        <v>0</v>
      </c>
      <c r="M143">
        <f t="shared" si="11"/>
        <v>0</v>
      </c>
      <c r="N143" s="12">
        <f t="shared" si="12"/>
        <v>0</v>
      </c>
      <c r="Q143" s="20"/>
      <c r="R143" s="10"/>
      <c r="CD143" s="12"/>
    </row>
    <row r="144" spans="2:82" x14ac:dyDescent="0.3">
      <c r="B144"/>
      <c r="I144" s="10">
        <v>0</v>
      </c>
      <c r="J144">
        <v>0</v>
      </c>
      <c r="K144" s="13">
        <f t="shared" si="9"/>
        <v>0</v>
      </c>
      <c r="L144">
        <f t="shared" si="10"/>
        <v>0</v>
      </c>
      <c r="M144">
        <f t="shared" si="11"/>
        <v>0</v>
      </c>
      <c r="N144" s="12">
        <f t="shared" si="12"/>
        <v>0</v>
      </c>
      <c r="Q144" s="20"/>
      <c r="R144" s="10"/>
      <c r="CD144" s="12"/>
    </row>
    <row r="145" spans="2:82" x14ac:dyDescent="0.3">
      <c r="B145"/>
      <c r="I145" s="10">
        <v>0</v>
      </c>
      <c r="J145">
        <v>0</v>
      </c>
      <c r="K145" s="13">
        <f t="shared" si="9"/>
        <v>0</v>
      </c>
      <c r="L145">
        <f t="shared" si="10"/>
        <v>0</v>
      </c>
      <c r="M145">
        <f t="shared" si="11"/>
        <v>0</v>
      </c>
      <c r="N145" s="12">
        <f t="shared" si="12"/>
        <v>0</v>
      </c>
      <c r="Q145" s="20"/>
      <c r="R145" s="10"/>
      <c r="CD145" s="12"/>
    </row>
    <row r="146" spans="2:82" x14ac:dyDescent="0.3">
      <c r="B146"/>
      <c r="I146" s="10">
        <v>0</v>
      </c>
      <c r="J146">
        <v>0</v>
      </c>
      <c r="K146" s="13">
        <f t="shared" si="9"/>
        <v>0</v>
      </c>
      <c r="L146">
        <f t="shared" si="10"/>
        <v>0</v>
      </c>
      <c r="M146">
        <f t="shared" si="11"/>
        <v>0</v>
      </c>
      <c r="N146" s="12">
        <f t="shared" si="12"/>
        <v>0</v>
      </c>
      <c r="Q146" s="20"/>
      <c r="R146" s="10"/>
      <c r="CD146" s="12"/>
    </row>
    <row r="147" spans="2:82" x14ac:dyDescent="0.3">
      <c r="B147"/>
      <c r="I147" s="10">
        <v>0</v>
      </c>
      <c r="J147">
        <v>0</v>
      </c>
      <c r="K147" s="13">
        <f t="shared" si="9"/>
        <v>0</v>
      </c>
      <c r="L147">
        <f t="shared" si="10"/>
        <v>0</v>
      </c>
      <c r="M147">
        <f t="shared" si="11"/>
        <v>0</v>
      </c>
      <c r="N147" s="12">
        <f t="shared" si="12"/>
        <v>0</v>
      </c>
      <c r="Q147" s="20"/>
      <c r="R147" s="10"/>
      <c r="CD147" s="12"/>
    </row>
    <row r="148" spans="2:82" x14ac:dyDescent="0.3">
      <c r="B148"/>
      <c r="I148" s="10">
        <v>0</v>
      </c>
      <c r="J148">
        <v>0</v>
      </c>
      <c r="K148" s="13">
        <f t="shared" si="9"/>
        <v>0</v>
      </c>
      <c r="L148">
        <f t="shared" si="10"/>
        <v>0</v>
      </c>
      <c r="M148">
        <f t="shared" si="11"/>
        <v>0</v>
      </c>
      <c r="N148" s="12">
        <f t="shared" si="12"/>
        <v>0</v>
      </c>
      <c r="Q148" s="20"/>
      <c r="R148" s="10"/>
      <c r="CD148" s="12"/>
    </row>
    <row r="149" spans="2:82" x14ac:dyDescent="0.3">
      <c r="B149"/>
      <c r="I149" s="10">
        <v>0</v>
      </c>
      <c r="J149">
        <v>0</v>
      </c>
      <c r="K149" s="13">
        <f t="shared" si="9"/>
        <v>0</v>
      </c>
      <c r="L149">
        <f t="shared" si="10"/>
        <v>0</v>
      </c>
      <c r="M149">
        <f t="shared" si="11"/>
        <v>0</v>
      </c>
      <c r="N149" s="12">
        <f t="shared" si="12"/>
        <v>0</v>
      </c>
      <c r="Q149" s="20"/>
      <c r="R149" s="10"/>
      <c r="CD149" s="12"/>
    </row>
    <row r="150" spans="2:82" ht="23.1" customHeight="1" x14ac:dyDescent="0.3">
      <c r="B150"/>
      <c r="I150" s="10">
        <v>0</v>
      </c>
      <c r="J150">
        <v>0</v>
      </c>
      <c r="K150" s="13">
        <f t="shared" si="9"/>
        <v>0</v>
      </c>
      <c r="L150">
        <f t="shared" si="10"/>
        <v>0</v>
      </c>
      <c r="M150">
        <f t="shared" si="11"/>
        <v>0</v>
      </c>
      <c r="N150" s="12">
        <f t="shared" si="12"/>
        <v>0</v>
      </c>
      <c r="Q150" s="20"/>
      <c r="R150" s="10"/>
      <c r="CD150" s="12"/>
    </row>
    <row r="151" spans="2:82" ht="23.1" customHeight="1" x14ac:dyDescent="0.3">
      <c r="I151" s="10">
        <v>0</v>
      </c>
      <c r="J151">
        <v>0</v>
      </c>
      <c r="K151" s="13">
        <f t="shared" si="9"/>
        <v>0</v>
      </c>
      <c r="L151">
        <f t="shared" si="10"/>
        <v>0</v>
      </c>
      <c r="M151">
        <f t="shared" si="11"/>
        <v>0</v>
      </c>
      <c r="N151" s="12">
        <f t="shared" si="12"/>
        <v>0</v>
      </c>
      <c r="Q151" s="20"/>
      <c r="R151" s="10"/>
      <c r="CD151" s="12"/>
    </row>
    <row r="152" spans="2:82" ht="23.1" customHeight="1" thickBot="1" x14ac:dyDescent="0.35">
      <c r="E152" s="6" t="s">
        <v>41</v>
      </c>
      <c r="I152" s="14">
        <v>0</v>
      </c>
      <c r="J152" s="15">
        <v>0</v>
      </c>
      <c r="K152" s="44">
        <f t="shared" si="9"/>
        <v>0</v>
      </c>
      <c r="L152" s="15">
        <f t="shared" si="10"/>
        <v>0</v>
      </c>
      <c r="M152" s="15">
        <f t="shared" si="11"/>
        <v>0</v>
      </c>
      <c r="N152" s="16">
        <f t="shared" si="12"/>
        <v>0</v>
      </c>
      <c r="Q152" s="20"/>
      <c r="R152" s="10"/>
      <c r="CD152" s="12"/>
    </row>
    <row r="153" spans="2:82" ht="21" customHeight="1" x14ac:dyDescent="0.3">
      <c r="E153" s="50" t="s">
        <v>42</v>
      </c>
      <c r="F153" s="51"/>
      <c r="G153" s="51"/>
      <c r="H153" s="52"/>
      <c r="I153" s="47"/>
      <c r="J153" s="47"/>
      <c r="K153" s="47"/>
      <c r="L153" s="47"/>
      <c r="M153" s="47" t="s">
        <v>43</v>
      </c>
      <c r="N153" s="57">
        <f>SUM(N89:N152)</f>
        <v>0</v>
      </c>
      <c r="Q153" s="20"/>
      <c r="R153" s="10"/>
      <c r="CD153" s="12"/>
    </row>
    <row r="154" spans="2:82" x14ac:dyDescent="0.3">
      <c r="E154" s="54"/>
      <c r="F154" s="55"/>
      <c r="G154" s="55"/>
      <c r="H154" s="47" t="s">
        <v>44</v>
      </c>
      <c r="I154" s="56">
        <f>C111</f>
        <v>144.13</v>
      </c>
      <c r="J154" s="47"/>
      <c r="K154" s="49">
        <f>C112</f>
        <v>2893216</v>
      </c>
      <c r="L154" s="47"/>
      <c r="M154" s="47"/>
      <c r="N154" s="57">
        <f t="shared" ref="N154:N155" si="13">(K154/50000000)*(I154/23)^3</f>
        <v>14.239361169084255</v>
      </c>
      <c r="Q154" s="20"/>
      <c r="R154" s="10"/>
      <c r="CD154" s="12"/>
    </row>
    <row r="155" spans="2:82" x14ac:dyDescent="0.3">
      <c r="E155" s="58"/>
      <c r="F155" s="59"/>
      <c r="G155" s="59"/>
      <c r="H155" s="60" t="s">
        <v>45</v>
      </c>
      <c r="I155" s="60">
        <f>C120</f>
        <v>0</v>
      </c>
      <c r="J155" s="60"/>
      <c r="K155" s="61">
        <f>C119</f>
        <v>2893216</v>
      </c>
      <c r="L155" s="60"/>
      <c r="M155" s="60"/>
      <c r="N155" s="62">
        <f t="shared" si="13"/>
        <v>0</v>
      </c>
      <c r="Q155" s="20"/>
      <c r="R155" s="10"/>
      <c r="CD155" s="12"/>
    </row>
    <row r="156" spans="2:82" x14ac:dyDescent="0.3">
      <c r="Q156" s="20"/>
      <c r="R156" s="10"/>
      <c r="CD156" s="12"/>
    </row>
    <row r="157" spans="2:82" x14ac:dyDescent="0.3">
      <c r="E157" s="6"/>
      <c r="Q157" s="20"/>
      <c r="R157" s="10"/>
      <c r="CD157" s="12"/>
    </row>
    <row r="158" spans="2:82" x14ac:dyDescent="0.3">
      <c r="Q158" s="20"/>
      <c r="R158" s="10"/>
      <c r="CD158" s="12"/>
    </row>
    <row r="159" spans="2:82" x14ac:dyDescent="0.3">
      <c r="Q159" s="20"/>
      <c r="R159" s="10"/>
      <c r="CD159" s="12"/>
    </row>
    <row r="160" spans="2:82" ht="15" thickBot="1" x14ac:dyDescent="0.35">
      <c r="Q160" s="20"/>
      <c r="R160" s="14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5"/>
      <c r="AV160" s="15"/>
      <c r="AW160" s="15"/>
      <c r="AX160" s="15"/>
      <c r="AY160" s="15"/>
      <c r="AZ160" s="15"/>
      <c r="BA160" s="15"/>
      <c r="BB160" s="15"/>
      <c r="BC160" s="15"/>
      <c r="BD160" s="15"/>
      <c r="BE160" s="15"/>
      <c r="BF160" s="15"/>
      <c r="BG160" s="15"/>
      <c r="BH160" s="15"/>
      <c r="BI160" s="15"/>
      <c r="BJ160" s="15"/>
      <c r="BK160" s="15"/>
      <c r="BL160" s="15"/>
      <c r="BM160" s="15"/>
      <c r="BN160" s="15"/>
      <c r="BO160" s="15"/>
      <c r="BP160" s="15"/>
      <c r="BQ160" s="15"/>
      <c r="BR160" s="15"/>
      <c r="BS160" s="15"/>
      <c r="BT160" s="15"/>
      <c r="BU160" s="15"/>
      <c r="BV160" s="15"/>
      <c r="BW160" s="15"/>
      <c r="BX160" s="15"/>
      <c r="BY160" s="15"/>
      <c r="BZ160" s="15"/>
      <c r="CA160" s="15"/>
      <c r="CB160" s="15"/>
      <c r="CC160" s="15"/>
      <c r="CD160" s="16"/>
    </row>
    <row r="162" spans="1:83" ht="15" thickBot="1" x14ac:dyDescent="0.35"/>
    <row r="163" spans="1:83" s="2" customFormat="1" ht="15" thickBot="1" x14ac:dyDescent="0.35">
      <c r="A163" s="2" t="s">
        <v>0</v>
      </c>
      <c r="B163" s="3"/>
    </row>
    <row r="165" spans="1:83" ht="18" x14ac:dyDescent="0.35">
      <c r="B165" s="4" t="s">
        <v>1</v>
      </c>
      <c r="C165" s="5" t="s">
        <v>47</v>
      </c>
      <c r="I165" s="6" t="s">
        <v>3</v>
      </c>
      <c r="Q165" s="6" t="s">
        <v>4</v>
      </c>
    </row>
    <row r="166" spans="1:83" ht="18.600000000000001" thickBot="1" x14ac:dyDescent="0.4">
      <c r="B166" s="4" t="s">
        <v>5</v>
      </c>
      <c r="C166" s="5" t="s">
        <v>6</v>
      </c>
      <c r="I166" s="66" t="s">
        <v>56</v>
      </c>
    </row>
    <row r="167" spans="1:83" ht="18.600000000000001" thickBot="1" x14ac:dyDescent="0.4">
      <c r="B167" s="4" t="s">
        <v>7</v>
      </c>
      <c r="C167" s="5"/>
      <c r="I167" s="7" t="s">
        <v>8</v>
      </c>
      <c r="J167" s="8" t="s">
        <v>9</v>
      </c>
      <c r="K167" s="8" t="s">
        <v>10</v>
      </c>
      <c r="L167" s="8" t="s">
        <v>11</v>
      </c>
      <c r="M167" s="8" t="s">
        <v>12</v>
      </c>
      <c r="N167" s="9" t="s">
        <v>13</v>
      </c>
    </row>
    <row r="168" spans="1:83" x14ac:dyDescent="0.3">
      <c r="I168" s="10" t="s">
        <v>14</v>
      </c>
      <c r="J168" s="11" t="s">
        <v>15</v>
      </c>
      <c r="K168" s="11" t="s">
        <v>15</v>
      </c>
      <c r="L168" s="11" t="s">
        <v>15</v>
      </c>
      <c r="N168" s="12"/>
      <c r="Q168" s="7" t="s">
        <v>8</v>
      </c>
      <c r="R168" s="8" t="s">
        <v>14</v>
      </c>
      <c r="S168" s="8">
        <f>S177</f>
        <v>0</v>
      </c>
      <c r="T168" s="8">
        <f t="shared" ref="T168:CD168" si="14">T177</f>
        <v>0</v>
      </c>
      <c r="U168" s="8">
        <f t="shared" si="14"/>
        <v>0</v>
      </c>
      <c r="V168" s="8">
        <f t="shared" si="14"/>
        <v>0</v>
      </c>
      <c r="W168" s="8">
        <f t="shared" si="14"/>
        <v>0</v>
      </c>
      <c r="X168" s="8">
        <f t="shared" si="14"/>
        <v>0</v>
      </c>
      <c r="Y168" s="8">
        <f t="shared" si="14"/>
        <v>0</v>
      </c>
      <c r="Z168" s="8">
        <f t="shared" si="14"/>
        <v>0</v>
      </c>
      <c r="AA168" s="8">
        <f t="shared" si="14"/>
        <v>0</v>
      </c>
      <c r="AB168" s="8">
        <f t="shared" si="14"/>
        <v>0</v>
      </c>
      <c r="AC168" s="8">
        <f t="shared" si="14"/>
        <v>0</v>
      </c>
      <c r="AD168" s="8">
        <f t="shared" si="14"/>
        <v>0</v>
      </c>
      <c r="AE168" s="8">
        <f t="shared" si="14"/>
        <v>0</v>
      </c>
      <c r="AF168" s="8">
        <f t="shared" si="14"/>
        <v>0</v>
      </c>
      <c r="AG168" s="8">
        <f t="shared" si="14"/>
        <v>0</v>
      </c>
      <c r="AH168" s="8">
        <f t="shared" si="14"/>
        <v>0</v>
      </c>
      <c r="AI168" s="8">
        <f t="shared" si="14"/>
        <v>0</v>
      </c>
      <c r="AJ168" s="8">
        <f t="shared" si="14"/>
        <v>0</v>
      </c>
      <c r="AK168" s="8">
        <f t="shared" si="14"/>
        <v>0</v>
      </c>
      <c r="AL168" s="8">
        <f t="shared" si="14"/>
        <v>0</v>
      </c>
      <c r="AM168" s="8">
        <f t="shared" si="14"/>
        <v>0</v>
      </c>
      <c r="AN168" s="8">
        <f t="shared" si="14"/>
        <v>0</v>
      </c>
      <c r="AO168" s="8">
        <f t="shared" si="14"/>
        <v>0</v>
      </c>
      <c r="AP168" s="8">
        <f t="shared" si="14"/>
        <v>0</v>
      </c>
      <c r="AQ168" s="8">
        <f t="shared" si="14"/>
        <v>0</v>
      </c>
      <c r="AR168" s="8">
        <f t="shared" si="14"/>
        <v>0</v>
      </c>
      <c r="AS168" s="8">
        <f t="shared" si="14"/>
        <v>0</v>
      </c>
      <c r="AT168" s="8">
        <f t="shared" si="14"/>
        <v>0</v>
      </c>
      <c r="AU168" s="8">
        <f t="shared" si="14"/>
        <v>0</v>
      </c>
      <c r="AV168" s="8">
        <f t="shared" si="14"/>
        <v>0</v>
      </c>
      <c r="AW168" s="8">
        <f t="shared" si="14"/>
        <v>0</v>
      </c>
      <c r="AX168" s="8">
        <f t="shared" si="14"/>
        <v>0</v>
      </c>
      <c r="AY168" s="8">
        <f t="shared" si="14"/>
        <v>0</v>
      </c>
      <c r="AZ168" s="8">
        <f t="shared" si="14"/>
        <v>0</v>
      </c>
      <c r="BA168" s="8">
        <f t="shared" si="14"/>
        <v>0</v>
      </c>
      <c r="BB168" s="8">
        <f t="shared" si="14"/>
        <v>0</v>
      </c>
      <c r="BC168" s="8">
        <f t="shared" si="14"/>
        <v>0</v>
      </c>
      <c r="BD168" s="8">
        <f t="shared" si="14"/>
        <v>0</v>
      </c>
      <c r="BE168" s="8">
        <f t="shared" si="14"/>
        <v>0</v>
      </c>
      <c r="BF168" s="8">
        <f t="shared" si="14"/>
        <v>0</v>
      </c>
      <c r="BG168" s="8">
        <f t="shared" si="14"/>
        <v>0</v>
      </c>
      <c r="BH168" s="8">
        <f t="shared" si="14"/>
        <v>0</v>
      </c>
      <c r="BI168" s="8">
        <f t="shared" si="14"/>
        <v>0</v>
      </c>
      <c r="BJ168" s="8">
        <f t="shared" si="14"/>
        <v>0</v>
      </c>
      <c r="BK168" s="8">
        <f t="shared" si="14"/>
        <v>0</v>
      </c>
      <c r="BL168" s="8">
        <f t="shared" si="14"/>
        <v>0</v>
      </c>
      <c r="BM168" s="8">
        <f t="shared" si="14"/>
        <v>0</v>
      </c>
      <c r="BN168" s="8">
        <f t="shared" si="14"/>
        <v>0</v>
      </c>
      <c r="BO168" s="8">
        <f t="shared" si="14"/>
        <v>0</v>
      </c>
      <c r="BP168" s="8">
        <f t="shared" si="14"/>
        <v>0</v>
      </c>
      <c r="BQ168" s="8">
        <f t="shared" si="14"/>
        <v>0</v>
      </c>
      <c r="BR168" s="8">
        <f t="shared" si="14"/>
        <v>0</v>
      </c>
      <c r="BS168" s="8">
        <f t="shared" si="14"/>
        <v>0</v>
      </c>
      <c r="BT168" s="8">
        <f t="shared" si="14"/>
        <v>0</v>
      </c>
      <c r="BU168" s="8">
        <f t="shared" si="14"/>
        <v>0</v>
      </c>
      <c r="BV168" s="8">
        <f t="shared" si="14"/>
        <v>0</v>
      </c>
      <c r="BW168" s="8">
        <f t="shared" si="14"/>
        <v>0</v>
      </c>
      <c r="BX168" s="8">
        <f t="shared" si="14"/>
        <v>0</v>
      </c>
      <c r="BY168" s="8">
        <f t="shared" si="14"/>
        <v>0</v>
      </c>
      <c r="BZ168" s="8">
        <f t="shared" si="14"/>
        <v>0</v>
      </c>
      <c r="CA168" s="8">
        <f t="shared" si="14"/>
        <v>0</v>
      </c>
      <c r="CB168" s="8">
        <f t="shared" si="14"/>
        <v>0</v>
      </c>
      <c r="CC168" s="8">
        <f t="shared" si="14"/>
        <v>0</v>
      </c>
      <c r="CD168" s="9">
        <f t="shared" si="14"/>
        <v>0</v>
      </c>
    </row>
    <row r="169" spans="1:83" x14ac:dyDescent="0.3">
      <c r="I169" s="10">
        <v>0</v>
      </c>
      <c r="J169">
        <v>0</v>
      </c>
      <c r="K169" s="13">
        <v>0</v>
      </c>
      <c r="N169" s="12"/>
      <c r="Q169" s="10"/>
      <c r="CD169" s="12"/>
    </row>
    <row r="170" spans="1:83" ht="15" thickBot="1" x14ac:dyDescent="0.35">
      <c r="I170" s="10" cm="1">
        <f t="array" ref="I170:I233">TRANSPOSE(S168:CD168)</f>
        <v>0</v>
      </c>
      <c r="J170" cm="1">
        <f t="array" ref="J170:J233">TRANSPOSE(S170:CD170)</f>
        <v>0</v>
      </c>
      <c r="K170" s="13">
        <f>J170*$C$188</f>
        <v>0</v>
      </c>
      <c r="L170">
        <f>I170^3</f>
        <v>0</v>
      </c>
      <c r="M170">
        <f>L170*K170</f>
        <v>0</v>
      </c>
      <c r="N170" s="12">
        <f>(K170/50000000)*(I170/23)^3</f>
        <v>0</v>
      </c>
      <c r="Q170" s="14" t="s">
        <v>9</v>
      </c>
      <c r="R170" s="15" t="s">
        <v>16</v>
      </c>
      <c r="S170" s="15">
        <f>SUM(S178:S241)</f>
        <v>0</v>
      </c>
      <c r="T170" s="15">
        <f t="shared" ref="T170:CD170" si="15">SUM(T178:T241)</f>
        <v>0</v>
      </c>
      <c r="U170" s="15">
        <f t="shared" si="15"/>
        <v>0</v>
      </c>
      <c r="V170" s="15">
        <f t="shared" si="15"/>
        <v>0</v>
      </c>
      <c r="W170" s="15">
        <f t="shared" si="15"/>
        <v>0</v>
      </c>
      <c r="X170" s="15">
        <f t="shared" si="15"/>
        <v>0</v>
      </c>
      <c r="Y170" s="15">
        <f t="shared" si="15"/>
        <v>0</v>
      </c>
      <c r="Z170" s="15">
        <f t="shared" si="15"/>
        <v>0</v>
      </c>
      <c r="AA170" s="15">
        <f t="shared" si="15"/>
        <v>0</v>
      </c>
      <c r="AB170" s="15">
        <f t="shared" si="15"/>
        <v>0</v>
      </c>
      <c r="AC170" s="15">
        <f t="shared" si="15"/>
        <v>0</v>
      </c>
      <c r="AD170" s="15">
        <f t="shared" si="15"/>
        <v>0</v>
      </c>
      <c r="AE170" s="15">
        <f t="shared" si="15"/>
        <v>0</v>
      </c>
      <c r="AF170" s="15">
        <f t="shared" si="15"/>
        <v>0</v>
      </c>
      <c r="AG170" s="15">
        <f t="shared" si="15"/>
        <v>0</v>
      </c>
      <c r="AH170" s="15">
        <f t="shared" si="15"/>
        <v>0</v>
      </c>
      <c r="AI170" s="15">
        <f t="shared" si="15"/>
        <v>0</v>
      </c>
      <c r="AJ170" s="15">
        <f t="shared" si="15"/>
        <v>0</v>
      </c>
      <c r="AK170" s="15">
        <f t="shared" si="15"/>
        <v>0</v>
      </c>
      <c r="AL170" s="15">
        <f t="shared" si="15"/>
        <v>0</v>
      </c>
      <c r="AM170" s="15">
        <f t="shared" si="15"/>
        <v>0</v>
      </c>
      <c r="AN170" s="15">
        <f t="shared" si="15"/>
        <v>0</v>
      </c>
      <c r="AO170" s="15">
        <f t="shared" si="15"/>
        <v>0</v>
      </c>
      <c r="AP170" s="15">
        <f t="shared" si="15"/>
        <v>0</v>
      </c>
      <c r="AQ170" s="15">
        <f t="shared" si="15"/>
        <v>0</v>
      </c>
      <c r="AR170" s="15">
        <f t="shared" si="15"/>
        <v>0</v>
      </c>
      <c r="AS170" s="15">
        <f t="shared" si="15"/>
        <v>0</v>
      </c>
      <c r="AT170" s="15">
        <f t="shared" si="15"/>
        <v>0</v>
      </c>
      <c r="AU170" s="15">
        <f t="shared" si="15"/>
        <v>0</v>
      </c>
      <c r="AV170" s="15">
        <f t="shared" si="15"/>
        <v>0</v>
      </c>
      <c r="AW170" s="15">
        <f t="shared" si="15"/>
        <v>0</v>
      </c>
      <c r="AX170" s="15">
        <f t="shared" si="15"/>
        <v>0</v>
      </c>
      <c r="AY170" s="15">
        <f t="shared" si="15"/>
        <v>0</v>
      </c>
      <c r="AZ170" s="15">
        <f t="shared" si="15"/>
        <v>0</v>
      </c>
      <c r="BA170" s="15">
        <f t="shared" si="15"/>
        <v>0</v>
      </c>
      <c r="BB170" s="15">
        <f t="shared" si="15"/>
        <v>0</v>
      </c>
      <c r="BC170" s="15">
        <f t="shared" si="15"/>
        <v>0</v>
      </c>
      <c r="BD170" s="15">
        <f t="shared" si="15"/>
        <v>0</v>
      </c>
      <c r="BE170" s="15">
        <f t="shared" si="15"/>
        <v>0</v>
      </c>
      <c r="BF170" s="15">
        <f t="shared" si="15"/>
        <v>0</v>
      </c>
      <c r="BG170" s="15">
        <f t="shared" si="15"/>
        <v>0</v>
      </c>
      <c r="BH170" s="15">
        <f t="shared" si="15"/>
        <v>0</v>
      </c>
      <c r="BI170" s="15">
        <f t="shared" si="15"/>
        <v>0</v>
      </c>
      <c r="BJ170" s="15">
        <f t="shared" si="15"/>
        <v>0</v>
      </c>
      <c r="BK170" s="15">
        <f t="shared" si="15"/>
        <v>0</v>
      </c>
      <c r="BL170" s="15">
        <f t="shared" si="15"/>
        <v>0</v>
      </c>
      <c r="BM170" s="15">
        <f t="shared" si="15"/>
        <v>0</v>
      </c>
      <c r="BN170" s="15">
        <f t="shared" si="15"/>
        <v>0</v>
      </c>
      <c r="BO170" s="15">
        <f t="shared" si="15"/>
        <v>0</v>
      </c>
      <c r="BP170" s="15">
        <f t="shared" si="15"/>
        <v>0</v>
      </c>
      <c r="BQ170" s="15">
        <f t="shared" si="15"/>
        <v>0</v>
      </c>
      <c r="BR170" s="15">
        <f t="shared" si="15"/>
        <v>0</v>
      </c>
      <c r="BS170" s="15">
        <f t="shared" si="15"/>
        <v>0</v>
      </c>
      <c r="BT170" s="15">
        <f t="shared" si="15"/>
        <v>0</v>
      </c>
      <c r="BU170" s="15">
        <f t="shared" si="15"/>
        <v>0</v>
      </c>
      <c r="BV170" s="15">
        <f t="shared" si="15"/>
        <v>0</v>
      </c>
      <c r="BW170" s="15">
        <f t="shared" si="15"/>
        <v>0</v>
      </c>
      <c r="BX170" s="15">
        <f t="shared" si="15"/>
        <v>0</v>
      </c>
      <c r="BY170" s="15">
        <f t="shared" si="15"/>
        <v>0</v>
      </c>
      <c r="BZ170" s="15">
        <f t="shared" si="15"/>
        <v>0</v>
      </c>
      <c r="CA170" s="15">
        <f t="shared" si="15"/>
        <v>0</v>
      </c>
      <c r="CB170" s="15">
        <f t="shared" si="15"/>
        <v>0</v>
      </c>
      <c r="CC170" s="15">
        <f t="shared" si="15"/>
        <v>0</v>
      </c>
      <c r="CD170" s="16">
        <f t="shared" si="15"/>
        <v>0</v>
      </c>
    </row>
    <row r="171" spans="1:83" x14ac:dyDescent="0.3">
      <c r="B171" s="17" t="s">
        <v>17</v>
      </c>
      <c r="I171" s="10">
        <v>0</v>
      </c>
      <c r="J171">
        <v>0</v>
      </c>
      <c r="K171" s="13">
        <f t="shared" ref="K171:K233" si="16">J171*$C$188</f>
        <v>0</v>
      </c>
      <c r="L171">
        <f t="shared" ref="L171:L233" si="17">I171^3</f>
        <v>0</v>
      </c>
      <c r="M171">
        <f t="shared" ref="M171:M233" si="18">L171*K171</f>
        <v>0</v>
      </c>
      <c r="N171" s="12">
        <f t="shared" ref="N171:N233" si="19">(K171/50000000)*(I171/23)^3</f>
        <v>0</v>
      </c>
    </row>
    <row r="172" spans="1:83" x14ac:dyDescent="0.3">
      <c r="B172"/>
      <c r="I172" s="10">
        <v>0</v>
      </c>
      <c r="J172">
        <v>0</v>
      </c>
      <c r="K172" s="13">
        <f t="shared" si="16"/>
        <v>0</v>
      </c>
      <c r="L172">
        <f t="shared" si="17"/>
        <v>0</v>
      </c>
      <c r="M172">
        <f t="shared" si="18"/>
        <v>0</v>
      </c>
      <c r="N172" s="12">
        <f t="shared" si="19"/>
        <v>0</v>
      </c>
      <c r="O172" s="13"/>
    </row>
    <row r="173" spans="1:83" x14ac:dyDescent="0.3">
      <c r="B173"/>
      <c r="I173" s="10">
        <v>0</v>
      </c>
      <c r="J173">
        <v>0</v>
      </c>
      <c r="K173" s="13">
        <f t="shared" si="16"/>
        <v>0</v>
      </c>
      <c r="L173">
        <f t="shared" si="17"/>
        <v>0</v>
      </c>
      <c r="M173">
        <f t="shared" si="18"/>
        <v>0</v>
      </c>
      <c r="N173" s="12">
        <f t="shared" si="19"/>
        <v>0</v>
      </c>
      <c r="P173" s="18"/>
      <c r="Q173" s="6" t="s">
        <v>53</v>
      </c>
    </row>
    <row r="174" spans="1:83" x14ac:dyDescent="0.3">
      <c r="B174"/>
      <c r="I174" s="10">
        <v>0</v>
      </c>
      <c r="J174">
        <v>0</v>
      </c>
      <c r="K174" s="13">
        <f t="shared" si="16"/>
        <v>0</v>
      </c>
      <c r="L174">
        <f t="shared" si="17"/>
        <v>0</v>
      </c>
      <c r="M174">
        <f t="shared" si="18"/>
        <v>0</v>
      </c>
      <c r="N174" s="12">
        <f t="shared" si="19"/>
        <v>0</v>
      </c>
    </row>
    <row r="175" spans="1:83" ht="15" thickBot="1" x14ac:dyDescent="0.35">
      <c r="B175"/>
      <c r="I175" s="10">
        <v>0</v>
      </c>
      <c r="J175">
        <v>0</v>
      </c>
      <c r="K175" s="13">
        <f t="shared" si="16"/>
        <v>0</v>
      </c>
      <c r="L175">
        <f t="shared" si="17"/>
        <v>0</v>
      </c>
      <c r="M175">
        <f t="shared" si="18"/>
        <v>0</v>
      </c>
      <c r="N175" s="12">
        <f t="shared" si="19"/>
        <v>0</v>
      </c>
      <c r="S175" s="6"/>
    </row>
    <row r="176" spans="1:83" ht="15" thickBot="1" x14ac:dyDescent="0.35">
      <c r="B176" s="19" t="s">
        <v>49</v>
      </c>
      <c r="C176" s="8"/>
      <c r="D176" s="9"/>
      <c r="I176" s="10">
        <v>0</v>
      </c>
      <c r="J176">
        <v>0</v>
      </c>
      <c r="K176" s="13">
        <f t="shared" si="16"/>
        <v>0</v>
      </c>
      <c r="L176">
        <f t="shared" si="17"/>
        <v>0</v>
      </c>
      <c r="M176">
        <f t="shared" si="18"/>
        <v>0</v>
      </c>
      <c r="N176" s="12">
        <f t="shared" si="19"/>
        <v>0</v>
      </c>
      <c r="R176" s="45" t="s">
        <v>18</v>
      </c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  <c r="AU176" s="20"/>
      <c r="AV176" s="20"/>
      <c r="AW176" s="20"/>
      <c r="AX176" s="20"/>
      <c r="AY176" s="20"/>
      <c r="AZ176" s="20"/>
      <c r="BA176" s="20"/>
      <c r="BB176" s="20"/>
      <c r="BC176" s="20"/>
      <c r="BD176" s="20"/>
      <c r="BE176" s="20"/>
      <c r="BF176" s="20"/>
      <c r="BG176" s="20"/>
      <c r="BH176" s="20"/>
      <c r="BI176" s="20"/>
      <c r="BJ176" s="20"/>
      <c r="BK176" s="20"/>
      <c r="BL176" s="20"/>
      <c r="BM176" s="20"/>
      <c r="BN176" s="20"/>
      <c r="BO176" s="20"/>
      <c r="BP176" s="20"/>
      <c r="BQ176" s="20"/>
      <c r="BR176" s="20"/>
      <c r="BS176" s="20"/>
      <c r="BT176" s="20"/>
      <c r="BU176" s="20"/>
      <c r="BV176" s="20"/>
      <c r="BW176" s="20"/>
      <c r="BX176" s="20"/>
      <c r="BY176" s="20"/>
      <c r="BZ176" s="20"/>
      <c r="CA176" s="20"/>
      <c r="CB176" s="20"/>
      <c r="CC176" s="20"/>
      <c r="CD176" s="20"/>
      <c r="CE176" s="20"/>
    </row>
    <row r="177" spans="2:82" x14ac:dyDescent="0.3">
      <c r="B177" s="21" t="s">
        <v>19</v>
      </c>
      <c r="C177" s="22">
        <v>100000</v>
      </c>
      <c r="D177" s="12" t="s">
        <v>20</v>
      </c>
      <c r="I177" s="10">
        <v>0</v>
      </c>
      <c r="J177">
        <v>0</v>
      </c>
      <c r="K177" s="13">
        <f t="shared" si="16"/>
        <v>0</v>
      </c>
      <c r="L177">
        <f t="shared" si="17"/>
        <v>0</v>
      </c>
      <c r="M177">
        <f t="shared" si="18"/>
        <v>0</v>
      </c>
      <c r="N177" s="12">
        <f t="shared" si="19"/>
        <v>0</v>
      </c>
      <c r="Q177" s="45" t="s">
        <v>23</v>
      </c>
      <c r="R177" s="46" t="s">
        <v>54</v>
      </c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  <c r="BI177" s="8"/>
      <c r="BJ177" s="8"/>
      <c r="BK177" s="8"/>
      <c r="BL177" s="8"/>
      <c r="BM177" s="8"/>
      <c r="BN177" s="8"/>
      <c r="BO177" s="8"/>
      <c r="BP177" s="8"/>
      <c r="BQ177" s="8"/>
      <c r="BR177" s="8"/>
      <c r="BS177" s="8"/>
      <c r="BT177" s="8"/>
      <c r="BU177" s="8"/>
      <c r="BV177" s="8"/>
      <c r="BW177" s="8"/>
      <c r="BX177" s="8"/>
      <c r="BY177" s="8"/>
      <c r="BZ177" s="8"/>
      <c r="CA177" s="8"/>
      <c r="CB177" s="8"/>
      <c r="CC177" s="8"/>
      <c r="CD177" s="9"/>
    </row>
    <row r="178" spans="2:82" x14ac:dyDescent="0.3">
      <c r="B178" s="21" t="s">
        <v>21</v>
      </c>
      <c r="C178" s="23">
        <v>10600</v>
      </c>
      <c r="D178" s="12" t="s">
        <v>22</v>
      </c>
      <c r="I178" s="10">
        <v>0</v>
      </c>
      <c r="J178">
        <v>0</v>
      </c>
      <c r="K178" s="13">
        <f t="shared" si="16"/>
        <v>0</v>
      </c>
      <c r="L178">
        <f t="shared" si="17"/>
        <v>0</v>
      </c>
      <c r="M178">
        <f t="shared" si="18"/>
        <v>0</v>
      </c>
      <c r="N178" s="12">
        <f t="shared" si="19"/>
        <v>0</v>
      </c>
      <c r="Q178" s="20"/>
      <c r="R178" s="10"/>
      <c r="CD178" s="12"/>
    </row>
    <row r="179" spans="2:82" ht="15" thickBot="1" x14ac:dyDescent="0.35">
      <c r="B179" s="24" t="s">
        <v>24</v>
      </c>
      <c r="C179" s="25">
        <f>C177*C178</f>
        <v>1060000000</v>
      </c>
      <c r="D179" s="16" t="s">
        <v>25</v>
      </c>
      <c r="I179" s="10">
        <v>0</v>
      </c>
      <c r="J179">
        <v>0</v>
      </c>
      <c r="K179" s="13">
        <f t="shared" si="16"/>
        <v>0</v>
      </c>
      <c r="L179">
        <f t="shared" si="17"/>
        <v>0</v>
      </c>
      <c r="M179">
        <f t="shared" si="18"/>
        <v>0</v>
      </c>
      <c r="N179" s="12">
        <f t="shared" si="19"/>
        <v>0</v>
      </c>
      <c r="Q179" s="20"/>
      <c r="R179" s="10"/>
      <c r="CD179" s="12"/>
    </row>
    <row r="180" spans="2:82" ht="15" thickBot="1" x14ac:dyDescent="0.35">
      <c r="I180" s="10">
        <v>0</v>
      </c>
      <c r="J180">
        <v>0</v>
      </c>
      <c r="K180" s="13">
        <f t="shared" si="16"/>
        <v>0</v>
      </c>
      <c r="L180">
        <f t="shared" si="17"/>
        <v>0</v>
      </c>
      <c r="M180">
        <f t="shared" si="18"/>
        <v>0</v>
      </c>
      <c r="N180" s="12">
        <f t="shared" si="19"/>
        <v>0</v>
      </c>
      <c r="Q180" s="20"/>
      <c r="R180" s="10"/>
      <c r="CD180" s="12"/>
    </row>
    <row r="181" spans="2:82" x14ac:dyDescent="0.3">
      <c r="B181" s="19" t="s">
        <v>50</v>
      </c>
      <c r="C181" s="8"/>
      <c r="D181" s="9"/>
      <c r="I181" s="10">
        <v>0</v>
      </c>
      <c r="J181">
        <v>0</v>
      </c>
      <c r="K181" s="13">
        <f t="shared" si="16"/>
        <v>0</v>
      </c>
      <c r="L181">
        <f t="shared" si="17"/>
        <v>0</v>
      </c>
      <c r="M181">
        <f t="shared" si="18"/>
        <v>0</v>
      </c>
      <c r="N181" s="12">
        <f t="shared" si="19"/>
        <v>0</v>
      </c>
      <c r="Q181" s="20"/>
      <c r="R181" s="10"/>
      <c r="CD181" s="12"/>
    </row>
    <row r="182" spans="2:82" x14ac:dyDescent="0.3">
      <c r="B182" s="21" t="s">
        <v>26</v>
      </c>
      <c r="C182" s="22">
        <v>6305</v>
      </c>
      <c r="D182" s="26" t="s">
        <v>27</v>
      </c>
      <c r="I182" s="10">
        <v>0</v>
      </c>
      <c r="J182">
        <v>0</v>
      </c>
      <c r="K182" s="13">
        <f t="shared" si="16"/>
        <v>0</v>
      </c>
      <c r="L182">
        <f t="shared" si="17"/>
        <v>0</v>
      </c>
      <c r="M182">
        <f t="shared" si="18"/>
        <v>0</v>
      </c>
      <c r="N182" s="12">
        <f t="shared" si="19"/>
        <v>0</v>
      </c>
      <c r="Q182" s="20"/>
      <c r="R182" s="10"/>
      <c r="CD182" s="12"/>
    </row>
    <row r="183" spans="2:82" x14ac:dyDescent="0.3">
      <c r="B183" s="21" t="s">
        <v>26</v>
      </c>
      <c r="C183" s="27">
        <f>C182/(60*60)</f>
        <v>1.7513888888888889</v>
      </c>
      <c r="D183" s="12" t="s">
        <v>28</v>
      </c>
      <c r="I183" s="10">
        <v>0</v>
      </c>
      <c r="J183">
        <v>0</v>
      </c>
      <c r="K183" s="13">
        <f t="shared" si="16"/>
        <v>0</v>
      </c>
      <c r="L183">
        <f t="shared" si="17"/>
        <v>0</v>
      </c>
      <c r="M183">
        <f t="shared" si="18"/>
        <v>0</v>
      </c>
      <c r="N183" s="12">
        <f t="shared" si="19"/>
        <v>0</v>
      </c>
      <c r="Q183" s="20"/>
      <c r="R183" s="10"/>
      <c r="CD183" s="12"/>
    </row>
    <row r="184" spans="2:82" x14ac:dyDescent="0.3">
      <c r="B184" s="21" t="s">
        <v>29</v>
      </c>
      <c r="C184" s="22">
        <v>7442</v>
      </c>
      <c r="D184" s="26" t="s">
        <v>22</v>
      </c>
      <c r="I184" s="10">
        <v>0</v>
      </c>
      <c r="J184">
        <v>0</v>
      </c>
      <c r="K184" s="13">
        <f t="shared" si="16"/>
        <v>0</v>
      </c>
      <c r="L184">
        <f t="shared" si="17"/>
        <v>0</v>
      </c>
      <c r="M184">
        <f t="shared" si="18"/>
        <v>0</v>
      </c>
      <c r="N184" s="12">
        <f t="shared" si="19"/>
        <v>0</v>
      </c>
      <c r="Q184" s="20"/>
      <c r="R184" s="10"/>
      <c r="CD184" s="12"/>
    </row>
    <row r="185" spans="2:82" ht="15" thickBot="1" x14ac:dyDescent="0.35">
      <c r="B185" s="24" t="s">
        <v>30</v>
      </c>
      <c r="C185" s="28">
        <f>C183*C184</f>
        <v>13033.836111111112</v>
      </c>
      <c r="D185" s="16" t="s">
        <v>25</v>
      </c>
      <c r="I185" s="10">
        <v>0</v>
      </c>
      <c r="J185">
        <v>0</v>
      </c>
      <c r="K185" s="13">
        <f t="shared" si="16"/>
        <v>0</v>
      </c>
      <c r="L185">
        <f t="shared" si="17"/>
        <v>0</v>
      </c>
      <c r="M185">
        <f t="shared" si="18"/>
        <v>0</v>
      </c>
      <c r="N185" s="12">
        <f t="shared" si="19"/>
        <v>0</v>
      </c>
      <c r="Q185" s="20"/>
      <c r="R185" s="10"/>
      <c r="CD185" s="12"/>
    </row>
    <row r="186" spans="2:82" ht="15" thickBot="1" x14ac:dyDescent="0.35">
      <c r="I186" s="10">
        <v>0</v>
      </c>
      <c r="J186">
        <v>0</v>
      </c>
      <c r="K186" s="13">
        <f t="shared" si="16"/>
        <v>0</v>
      </c>
      <c r="L186">
        <f t="shared" si="17"/>
        <v>0</v>
      </c>
      <c r="M186">
        <f t="shared" si="18"/>
        <v>0</v>
      </c>
      <c r="N186" s="12">
        <f t="shared" si="19"/>
        <v>0</v>
      </c>
      <c r="Q186" s="20"/>
      <c r="R186" s="10"/>
      <c r="CD186" s="12"/>
    </row>
    <row r="187" spans="2:82" x14ac:dyDescent="0.3">
      <c r="B187" s="19" t="s">
        <v>51</v>
      </c>
      <c r="C187" s="8"/>
      <c r="D187" s="9"/>
      <c r="I187" s="10">
        <v>0</v>
      </c>
      <c r="J187">
        <v>0</v>
      </c>
      <c r="K187" s="13">
        <f t="shared" si="16"/>
        <v>0</v>
      </c>
      <c r="L187">
        <f t="shared" si="17"/>
        <v>0</v>
      </c>
      <c r="M187">
        <f t="shared" si="18"/>
        <v>0</v>
      </c>
      <c r="N187" s="12">
        <f t="shared" si="19"/>
        <v>0</v>
      </c>
      <c r="Q187" s="20"/>
      <c r="R187" s="10"/>
      <c r="CD187" s="12"/>
    </row>
    <row r="188" spans="2:82" ht="15" thickBot="1" x14ac:dyDescent="0.35">
      <c r="B188" s="24" t="s">
        <v>31</v>
      </c>
      <c r="C188" s="29">
        <f>C179/C185</f>
        <v>81326.785987156079</v>
      </c>
      <c r="D188" s="16"/>
      <c r="I188" s="10">
        <v>0</v>
      </c>
      <c r="J188">
        <v>0</v>
      </c>
      <c r="K188" s="13">
        <f t="shared" si="16"/>
        <v>0</v>
      </c>
      <c r="L188">
        <f t="shared" si="17"/>
        <v>0</v>
      </c>
      <c r="M188">
        <f t="shared" si="18"/>
        <v>0</v>
      </c>
      <c r="N188" s="12">
        <f t="shared" si="19"/>
        <v>0</v>
      </c>
      <c r="Q188" s="20"/>
      <c r="R188" s="10"/>
      <c r="CD188" s="12"/>
    </row>
    <row r="189" spans="2:82" ht="15" thickBot="1" x14ac:dyDescent="0.35">
      <c r="C189" s="30"/>
      <c r="I189" s="10">
        <v>0</v>
      </c>
      <c r="J189">
        <v>0</v>
      </c>
      <c r="K189" s="13">
        <f t="shared" si="16"/>
        <v>0</v>
      </c>
      <c r="L189">
        <f t="shared" si="17"/>
        <v>0</v>
      </c>
      <c r="M189">
        <f t="shared" si="18"/>
        <v>0</v>
      </c>
      <c r="N189" s="12">
        <f t="shared" si="19"/>
        <v>0</v>
      </c>
      <c r="Q189" s="20"/>
      <c r="R189" s="10"/>
      <c r="CD189" s="12"/>
    </row>
    <row r="190" spans="2:82" x14ac:dyDescent="0.3">
      <c r="B190" s="31" t="s">
        <v>52</v>
      </c>
      <c r="C190" s="8"/>
      <c r="D190" s="9"/>
      <c r="I190" s="10">
        <v>0</v>
      </c>
      <c r="J190">
        <v>0</v>
      </c>
      <c r="K190" s="13">
        <f t="shared" si="16"/>
        <v>0</v>
      </c>
      <c r="L190">
        <f t="shared" si="17"/>
        <v>0</v>
      </c>
      <c r="M190">
        <f t="shared" si="18"/>
        <v>0</v>
      </c>
      <c r="N190" s="12">
        <f t="shared" si="19"/>
        <v>0</v>
      </c>
      <c r="Q190" s="20"/>
      <c r="R190" s="10"/>
      <c r="CD190" s="12"/>
    </row>
    <row r="191" spans="2:82" x14ac:dyDescent="0.3">
      <c r="B191" s="21" t="s">
        <v>32</v>
      </c>
      <c r="C191" s="32">
        <v>205.9</v>
      </c>
      <c r="D191" s="12" t="s">
        <v>14</v>
      </c>
      <c r="I191" s="10">
        <v>0</v>
      </c>
      <c r="J191">
        <v>0</v>
      </c>
      <c r="K191" s="13">
        <f t="shared" si="16"/>
        <v>0</v>
      </c>
      <c r="L191">
        <f t="shared" si="17"/>
        <v>0</v>
      </c>
      <c r="M191">
        <f t="shared" si="18"/>
        <v>0</v>
      </c>
      <c r="N191" s="12">
        <f t="shared" si="19"/>
        <v>0</v>
      </c>
      <c r="Q191" s="20"/>
      <c r="R191" s="10"/>
      <c r="CD191" s="12"/>
    </row>
    <row r="192" spans="2:82" x14ac:dyDescent="0.3">
      <c r="B192" s="21" t="s">
        <v>33</v>
      </c>
      <c r="C192" s="27">
        <f>0.7*C191</f>
        <v>144.13</v>
      </c>
      <c r="D192" s="12" t="s">
        <v>14</v>
      </c>
      <c r="I192" s="10">
        <v>0</v>
      </c>
      <c r="J192">
        <v>0</v>
      </c>
      <c r="K192" s="13">
        <f t="shared" si="16"/>
        <v>0</v>
      </c>
      <c r="L192">
        <f t="shared" si="17"/>
        <v>0</v>
      </c>
      <c r="M192">
        <f t="shared" si="18"/>
        <v>0</v>
      </c>
      <c r="N192" s="12">
        <f t="shared" si="19"/>
        <v>0</v>
      </c>
      <c r="Q192" s="20"/>
      <c r="R192" s="10"/>
      <c r="CD192" s="12"/>
    </row>
    <row r="193" spans="1:82" ht="15" thickBot="1" x14ac:dyDescent="0.35">
      <c r="B193" s="24" t="s">
        <v>34</v>
      </c>
      <c r="C193" s="33">
        <f>1446608*2</f>
        <v>2893216</v>
      </c>
      <c r="D193" s="16"/>
      <c r="I193" s="10">
        <v>0</v>
      </c>
      <c r="J193">
        <v>0</v>
      </c>
      <c r="K193" s="13">
        <f t="shared" si="16"/>
        <v>0</v>
      </c>
      <c r="L193">
        <f t="shared" si="17"/>
        <v>0</v>
      </c>
      <c r="M193">
        <f t="shared" si="18"/>
        <v>0</v>
      </c>
      <c r="N193" s="12">
        <f t="shared" si="19"/>
        <v>0</v>
      </c>
      <c r="Q193" s="20"/>
      <c r="R193" s="10"/>
      <c r="CD193" s="12"/>
    </row>
    <row r="194" spans="1:82" x14ac:dyDescent="0.3">
      <c r="I194" s="10">
        <v>0</v>
      </c>
      <c r="J194">
        <v>0</v>
      </c>
      <c r="K194" s="13">
        <f t="shared" si="16"/>
        <v>0</v>
      </c>
      <c r="L194">
        <f t="shared" si="17"/>
        <v>0</v>
      </c>
      <c r="M194">
        <f t="shared" si="18"/>
        <v>0</v>
      </c>
      <c r="N194" s="12">
        <f t="shared" si="19"/>
        <v>0</v>
      </c>
      <c r="Q194" s="20"/>
      <c r="R194" s="10"/>
      <c r="CD194" s="12"/>
    </row>
    <row r="195" spans="1:82" x14ac:dyDescent="0.3">
      <c r="I195" s="10">
        <v>0</v>
      </c>
      <c r="J195">
        <v>0</v>
      </c>
      <c r="K195" s="13">
        <f t="shared" si="16"/>
        <v>0</v>
      </c>
      <c r="L195">
        <f t="shared" si="17"/>
        <v>0</v>
      </c>
      <c r="M195">
        <f t="shared" si="18"/>
        <v>0</v>
      </c>
      <c r="N195" s="12">
        <f t="shared" si="19"/>
        <v>0</v>
      </c>
      <c r="Q195" s="20"/>
      <c r="R195" s="10"/>
      <c r="CD195" s="12"/>
    </row>
    <row r="196" spans="1:82" x14ac:dyDescent="0.3">
      <c r="I196" s="10">
        <v>0</v>
      </c>
      <c r="J196">
        <v>0</v>
      </c>
      <c r="K196" s="13">
        <f t="shared" si="16"/>
        <v>0</v>
      </c>
      <c r="L196">
        <f t="shared" si="17"/>
        <v>0</v>
      </c>
      <c r="M196">
        <f t="shared" si="18"/>
        <v>0</v>
      </c>
      <c r="N196" s="12">
        <f t="shared" si="19"/>
        <v>0</v>
      </c>
      <c r="Q196" s="20"/>
      <c r="R196" s="10"/>
      <c r="CD196" s="12"/>
    </row>
    <row r="197" spans="1:82" x14ac:dyDescent="0.3">
      <c r="I197" s="10">
        <v>0</v>
      </c>
      <c r="J197">
        <v>0</v>
      </c>
      <c r="K197" s="13">
        <f t="shared" si="16"/>
        <v>0</v>
      </c>
      <c r="L197">
        <f t="shared" si="17"/>
        <v>0</v>
      </c>
      <c r="M197">
        <f t="shared" si="18"/>
        <v>0</v>
      </c>
      <c r="N197" s="12">
        <f t="shared" si="19"/>
        <v>0</v>
      </c>
      <c r="Q197" s="20"/>
      <c r="R197" s="10"/>
      <c r="CD197" s="12"/>
    </row>
    <row r="198" spans="1:82" ht="15" thickBot="1" x14ac:dyDescent="0.35">
      <c r="I198" s="10">
        <v>0</v>
      </c>
      <c r="J198">
        <v>0</v>
      </c>
      <c r="K198" s="13">
        <f t="shared" si="16"/>
        <v>0</v>
      </c>
      <c r="L198">
        <f t="shared" si="17"/>
        <v>0</v>
      </c>
      <c r="M198">
        <f t="shared" si="18"/>
        <v>0</v>
      </c>
      <c r="N198" s="12">
        <f t="shared" si="19"/>
        <v>0</v>
      </c>
      <c r="O198" s="13"/>
      <c r="Q198" s="20"/>
      <c r="R198" s="10"/>
      <c r="CD198" s="12"/>
    </row>
    <row r="199" spans="1:82" x14ac:dyDescent="0.3">
      <c r="B199" s="19" t="s">
        <v>35</v>
      </c>
      <c r="C199" s="8"/>
      <c r="D199" s="9"/>
      <c r="I199" s="10">
        <v>0</v>
      </c>
      <c r="J199">
        <v>0</v>
      </c>
      <c r="K199" s="13">
        <f t="shared" si="16"/>
        <v>0</v>
      </c>
      <c r="L199">
        <f t="shared" si="17"/>
        <v>0</v>
      </c>
      <c r="M199">
        <f t="shared" si="18"/>
        <v>0</v>
      </c>
      <c r="N199" s="12">
        <f t="shared" si="19"/>
        <v>0</v>
      </c>
      <c r="P199" s="18"/>
      <c r="Q199" s="20"/>
      <c r="R199" s="10"/>
      <c r="CD199" s="12"/>
    </row>
    <row r="200" spans="1:82" x14ac:dyDescent="0.3">
      <c r="B200" s="34" t="s">
        <v>36</v>
      </c>
      <c r="C200" s="35">
        <f>C193</f>
        <v>2893216</v>
      </c>
      <c r="D200" s="12"/>
      <c r="I200" s="10">
        <v>0</v>
      </c>
      <c r="J200">
        <v>0</v>
      </c>
      <c r="K200" s="13">
        <f t="shared" si="16"/>
        <v>0</v>
      </c>
      <c r="L200">
        <f t="shared" si="17"/>
        <v>0</v>
      </c>
      <c r="M200">
        <f t="shared" si="18"/>
        <v>0</v>
      </c>
      <c r="N200" s="12">
        <f t="shared" si="19"/>
        <v>0</v>
      </c>
      <c r="Q200" s="20"/>
      <c r="R200" s="10"/>
      <c r="CD200" s="12"/>
    </row>
    <row r="201" spans="1:82" ht="15" thickBot="1" x14ac:dyDescent="0.35">
      <c r="B201" s="36" t="s">
        <v>37</v>
      </c>
      <c r="C201" s="37">
        <f>(SUM(M170:M233)/C200)^(1/3)</f>
        <v>0</v>
      </c>
      <c r="D201" s="16" t="s">
        <v>14</v>
      </c>
      <c r="I201" s="10">
        <v>0</v>
      </c>
      <c r="J201">
        <v>0</v>
      </c>
      <c r="K201" s="13">
        <f t="shared" si="16"/>
        <v>0</v>
      </c>
      <c r="L201">
        <f t="shared" si="17"/>
        <v>0</v>
      </c>
      <c r="M201">
        <f t="shared" si="18"/>
        <v>0</v>
      </c>
      <c r="N201" s="12">
        <f t="shared" si="19"/>
        <v>0</v>
      </c>
      <c r="Q201" s="20"/>
      <c r="R201" s="10"/>
      <c r="CD201" s="12"/>
    </row>
    <row r="202" spans="1:82" x14ac:dyDescent="0.3">
      <c r="I202" s="10">
        <v>0</v>
      </c>
      <c r="J202">
        <v>0</v>
      </c>
      <c r="K202" s="13">
        <f t="shared" si="16"/>
        <v>0</v>
      </c>
      <c r="L202">
        <f t="shared" si="17"/>
        <v>0</v>
      </c>
      <c r="M202">
        <f t="shared" si="18"/>
        <v>0</v>
      </c>
      <c r="N202" s="12">
        <f t="shared" si="19"/>
        <v>0</v>
      </c>
      <c r="Q202" s="20"/>
      <c r="R202" s="10"/>
      <c r="CD202" s="12"/>
    </row>
    <row r="203" spans="1:82" x14ac:dyDescent="0.3">
      <c r="A203" s="1"/>
      <c r="C203" s="38"/>
      <c r="D203" s="38"/>
      <c r="E203" s="38"/>
      <c r="I203" s="10">
        <v>0</v>
      </c>
      <c r="J203">
        <v>0</v>
      </c>
      <c r="K203" s="13">
        <f t="shared" si="16"/>
        <v>0</v>
      </c>
      <c r="L203">
        <f t="shared" si="17"/>
        <v>0</v>
      </c>
      <c r="M203">
        <f t="shared" si="18"/>
        <v>0</v>
      </c>
      <c r="N203" s="12">
        <f t="shared" si="19"/>
        <v>0</v>
      </c>
      <c r="Q203" s="20"/>
      <c r="R203" s="10"/>
      <c r="CD203" s="12"/>
    </row>
    <row r="204" spans="1:82" ht="15" thickBot="1" x14ac:dyDescent="0.35">
      <c r="A204" s="1"/>
      <c r="C204" s="38"/>
      <c r="D204" s="38"/>
      <c r="E204" s="38"/>
      <c r="I204" s="10">
        <v>0</v>
      </c>
      <c r="J204">
        <v>0</v>
      </c>
      <c r="K204" s="13">
        <f t="shared" si="16"/>
        <v>0</v>
      </c>
      <c r="L204">
        <f t="shared" si="17"/>
        <v>0</v>
      </c>
      <c r="M204">
        <f t="shared" si="18"/>
        <v>0</v>
      </c>
      <c r="N204" s="12">
        <f t="shared" si="19"/>
        <v>0</v>
      </c>
      <c r="Q204" s="20"/>
      <c r="R204" s="10"/>
      <c r="CD204" s="12"/>
    </row>
    <row r="205" spans="1:82" x14ac:dyDescent="0.3">
      <c r="B205" s="31" t="s">
        <v>38</v>
      </c>
      <c r="C205" s="39"/>
      <c r="D205" s="40"/>
      <c r="I205" s="10">
        <v>0</v>
      </c>
      <c r="J205">
        <v>0</v>
      </c>
      <c r="K205" s="13">
        <f t="shared" si="16"/>
        <v>0</v>
      </c>
      <c r="L205">
        <f t="shared" si="17"/>
        <v>0</v>
      </c>
      <c r="M205">
        <f t="shared" si="18"/>
        <v>0</v>
      </c>
      <c r="N205" s="12">
        <f t="shared" si="19"/>
        <v>0</v>
      </c>
      <c r="Q205" s="20"/>
      <c r="R205" s="10"/>
      <c r="CD205" s="12"/>
    </row>
    <row r="206" spans="1:82" x14ac:dyDescent="0.3">
      <c r="B206" s="21" t="s">
        <v>39</v>
      </c>
      <c r="C206" s="35">
        <f>C192</f>
        <v>144.13</v>
      </c>
      <c r="D206" s="12"/>
      <c r="E206" s="41"/>
      <c r="F206" s="42"/>
      <c r="I206" s="10">
        <v>0</v>
      </c>
      <c r="J206">
        <v>0</v>
      </c>
      <c r="K206" s="13">
        <f t="shared" si="16"/>
        <v>0</v>
      </c>
      <c r="L206">
        <f t="shared" si="17"/>
        <v>0</v>
      </c>
      <c r="M206">
        <f t="shared" si="18"/>
        <v>0</v>
      </c>
      <c r="N206" s="12">
        <f t="shared" si="19"/>
        <v>0</v>
      </c>
      <c r="Q206" s="20"/>
      <c r="R206" s="10"/>
      <c r="CD206" s="12"/>
    </row>
    <row r="207" spans="1:82" ht="15" thickBot="1" x14ac:dyDescent="0.35">
      <c r="B207" s="24" t="s">
        <v>40</v>
      </c>
      <c r="C207" s="43">
        <f>C201</f>
        <v>0</v>
      </c>
      <c r="D207" s="16"/>
      <c r="I207" s="10">
        <v>0</v>
      </c>
      <c r="J207">
        <v>0</v>
      </c>
      <c r="K207" s="13">
        <f t="shared" si="16"/>
        <v>0</v>
      </c>
      <c r="L207">
        <f t="shared" si="17"/>
        <v>0</v>
      </c>
      <c r="M207">
        <f t="shared" si="18"/>
        <v>0</v>
      </c>
      <c r="N207" s="12">
        <f t="shared" si="19"/>
        <v>0</v>
      </c>
      <c r="Q207" s="20"/>
      <c r="R207" s="10"/>
      <c r="CD207" s="12"/>
    </row>
    <row r="208" spans="1:82" x14ac:dyDescent="0.3">
      <c r="I208" s="10">
        <v>0</v>
      </c>
      <c r="J208">
        <v>0</v>
      </c>
      <c r="K208" s="13">
        <f t="shared" si="16"/>
        <v>0</v>
      </c>
      <c r="L208">
        <f t="shared" si="17"/>
        <v>0</v>
      </c>
      <c r="M208">
        <f t="shared" si="18"/>
        <v>0</v>
      </c>
      <c r="N208" s="12">
        <f t="shared" si="19"/>
        <v>0</v>
      </c>
      <c r="Q208" s="20"/>
      <c r="R208" s="10"/>
      <c r="CD208" s="12"/>
    </row>
    <row r="209" spans="2:82" x14ac:dyDescent="0.3">
      <c r="I209" s="10">
        <v>0</v>
      </c>
      <c r="J209">
        <v>0</v>
      </c>
      <c r="K209" s="13">
        <f t="shared" si="16"/>
        <v>0</v>
      </c>
      <c r="L209">
        <f t="shared" si="17"/>
        <v>0</v>
      </c>
      <c r="M209">
        <f t="shared" si="18"/>
        <v>0</v>
      </c>
      <c r="N209" s="12">
        <f t="shared" si="19"/>
        <v>0</v>
      </c>
      <c r="Q209" s="20"/>
      <c r="R209" s="10"/>
      <c r="CD209" s="12"/>
    </row>
    <row r="210" spans="2:82" x14ac:dyDescent="0.3">
      <c r="B210"/>
      <c r="I210" s="10">
        <v>0</v>
      </c>
      <c r="J210">
        <v>0</v>
      </c>
      <c r="K210" s="13">
        <f t="shared" si="16"/>
        <v>0</v>
      </c>
      <c r="L210">
        <f t="shared" si="17"/>
        <v>0</v>
      </c>
      <c r="M210">
        <f t="shared" si="18"/>
        <v>0</v>
      </c>
      <c r="N210" s="12">
        <f t="shared" si="19"/>
        <v>0</v>
      </c>
      <c r="Q210" s="20"/>
      <c r="R210" s="10"/>
      <c r="CD210" s="12"/>
    </row>
    <row r="211" spans="2:82" x14ac:dyDescent="0.3">
      <c r="B211"/>
      <c r="I211" s="10">
        <v>0</v>
      </c>
      <c r="J211">
        <v>0</v>
      </c>
      <c r="K211" s="13">
        <f t="shared" si="16"/>
        <v>0</v>
      </c>
      <c r="L211">
        <f t="shared" si="17"/>
        <v>0</v>
      </c>
      <c r="M211">
        <f t="shared" si="18"/>
        <v>0</v>
      </c>
      <c r="N211" s="12">
        <f t="shared" si="19"/>
        <v>0</v>
      </c>
      <c r="Q211" s="20"/>
      <c r="R211" s="10"/>
      <c r="CD211" s="12"/>
    </row>
    <row r="212" spans="2:82" x14ac:dyDescent="0.3">
      <c r="B212"/>
      <c r="I212" s="10">
        <v>0</v>
      </c>
      <c r="J212">
        <v>0</v>
      </c>
      <c r="K212" s="13">
        <f t="shared" si="16"/>
        <v>0</v>
      </c>
      <c r="L212">
        <f t="shared" si="17"/>
        <v>0</v>
      </c>
      <c r="M212">
        <f t="shared" si="18"/>
        <v>0</v>
      </c>
      <c r="N212" s="12">
        <f t="shared" si="19"/>
        <v>0</v>
      </c>
      <c r="Q212" s="20"/>
      <c r="R212" s="10"/>
      <c r="CD212" s="12"/>
    </row>
    <row r="213" spans="2:82" x14ac:dyDescent="0.3">
      <c r="B213"/>
      <c r="I213" s="10">
        <v>0</v>
      </c>
      <c r="J213">
        <v>0</v>
      </c>
      <c r="K213" s="13">
        <f t="shared" si="16"/>
        <v>0</v>
      </c>
      <c r="L213">
        <f t="shared" si="17"/>
        <v>0</v>
      </c>
      <c r="M213">
        <f t="shared" si="18"/>
        <v>0</v>
      </c>
      <c r="N213" s="12">
        <f t="shared" si="19"/>
        <v>0</v>
      </c>
      <c r="Q213" s="20"/>
      <c r="R213" s="10"/>
      <c r="CD213" s="12"/>
    </row>
    <row r="214" spans="2:82" x14ac:dyDescent="0.3">
      <c r="B214"/>
      <c r="I214" s="10">
        <v>0</v>
      </c>
      <c r="J214">
        <v>0</v>
      </c>
      <c r="K214" s="13">
        <f t="shared" si="16"/>
        <v>0</v>
      </c>
      <c r="L214">
        <f t="shared" si="17"/>
        <v>0</v>
      </c>
      <c r="M214">
        <f t="shared" si="18"/>
        <v>0</v>
      </c>
      <c r="N214" s="12">
        <f t="shared" si="19"/>
        <v>0</v>
      </c>
      <c r="Q214" s="20"/>
      <c r="R214" s="10"/>
      <c r="CD214" s="12"/>
    </row>
    <row r="215" spans="2:82" x14ac:dyDescent="0.3">
      <c r="B215"/>
      <c r="I215" s="10">
        <v>0</v>
      </c>
      <c r="J215">
        <v>0</v>
      </c>
      <c r="K215" s="13">
        <f t="shared" si="16"/>
        <v>0</v>
      </c>
      <c r="L215">
        <f t="shared" si="17"/>
        <v>0</v>
      </c>
      <c r="M215">
        <f t="shared" si="18"/>
        <v>0</v>
      </c>
      <c r="N215" s="12">
        <f t="shared" si="19"/>
        <v>0</v>
      </c>
      <c r="Q215" s="20"/>
      <c r="R215" s="10"/>
      <c r="CD215" s="12"/>
    </row>
    <row r="216" spans="2:82" x14ac:dyDescent="0.3">
      <c r="B216"/>
      <c r="I216" s="10">
        <v>0</v>
      </c>
      <c r="J216">
        <v>0</v>
      </c>
      <c r="K216" s="13">
        <f t="shared" si="16"/>
        <v>0</v>
      </c>
      <c r="L216">
        <f t="shared" si="17"/>
        <v>0</v>
      </c>
      <c r="M216">
        <f t="shared" si="18"/>
        <v>0</v>
      </c>
      <c r="N216" s="12">
        <f t="shared" si="19"/>
        <v>0</v>
      </c>
      <c r="Q216" s="20"/>
      <c r="R216" s="10"/>
      <c r="CD216" s="12"/>
    </row>
    <row r="217" spans="2:82" x14ac:dyDescent="0.3">
      <c r="B217"/>
      <c r="I217" s="10">
        <v>0</v>
      </c>
      <c r="J217">
        <v>0</v>
      </c>
      <c r="K217" s="13">
        <f t="shared" si="16"/>
        <v>0</v>
      </c>
      <c r="L217">
        <f t="shared" si="17"/>
        <v>0</v>
      </c>
      <c r="M217">
        <f t="shared" si="18"/>
        <v>0</v>
      </c>
      <c r="N217" s="12">
        <f t="shared" si="19"/>
        <v>0</v>
      </c>
      <c r="Q217" s="20"/>
      <c r="R217" s="10"/>
      <c r="CD217" s="12"/>
    </row>
    <row r="218" spans="2:82" x14ac:dyDescent="0.3">
      <c r="B218"/>
      <c r="I218" s="10">
        <v>0</v>
      </c>
      <c r="J218">
        <v>0</v>
      </c>
      <c r="K218" s="13">
        <f t="shared" si="16"/>
        <v>0</v>
      </c>
      <c r="L218">
        <f t="shared" si="17"/>
        <v>0</v>
      </c>
      <c r="M218">
        <f t="shared" si="18"/>
        <v>0</v>
      </c>
      <c r="N218" s="12">
        <f t="shared" si="19"/>
        <v>0</v>
      </c>
      <c r="Q218" s="20"/>
      <c r="R218" s="10"/>
      <c r="CD218" s="12"/>
    </row>
    <row r="219" spans="2:82" x14ac:dyDescent="0.3">
      <c r="B219"/>
      <c r="I219" s="10">
        <v>0</v>
      </c>
      <c r="J219">
        <v>0</v>
      </c>
      <c r="K219" s="13">
        <f t="shared" si="16"/>
        <v>0</v>
      </c>
      <c r="L219">
        <f t="shared" si="17"/>
        <v>0</v>
      </c>
      <c r="M219">
        <f t="shared" si="18"/>
        <v>0</v>
      </c>
      <c r="N219" s="12">
        <f t="shared" si="19"/>
        <v>0</v>
      </c>
      <c r="Q219" s="20"/>
      <c r="R219" s="10"/>
      <c r="CD219" s="12"/>
    </row>
    <row r="220" spans="2:82" x14ac:dyDescent="0.3">
      <c r="B220"/>
      <c r="I220" s="10">
        <v>0</v>
      </c>
      <c r="J220">
        <v>0</v>
      </c>
      <c r="K220" s="13">
        <f t="shared" si="16"/>
        <v>0</v>
      </c>
      <c r="L220">
        <f t="shared" si="17"/>
        <v>0</v>
      </c>
      <c r="M220">
        <f t="shared" si="18"/>
        <v>0</v>
      </c>
      <c r="N220" s="12">
        <f t="shared" si="19"/>
        <v>0</v>
      </c>
      <c r="Q220" s="20"/>
      <c r="R220" s="10"/>
      <c r="CD220" s="12"/>
    </row>
    <row r="221" spans="2:82" x14ac:dyDescent="0.3">
      <c r="B221"/>
      <c r="I221" s="10">
        <v>0</v>
      </c>
      <c r="J221">
        <v>0</v>
      </c>
      <c r="K221" s="13">
        <f t="shared" si="16"/>
        <v>0</v>
      </c>
      <c r="L221">
        <f t="shared" si="17"/>
        <v>0</v>
      </c>
      <c r="M221">
        <f t="shared" si="18"/>
        <v>0</v>
      </c>
      <c r="N221" s="12">
        <f t="shared" si="19"/>
        <v>0</v>
      </c>
      <c r="Q221" s="20"/>
      <c r="R221" s="10"/>
      <c r="CD221" s="12"/>
    </row>
    <row r="222" spans="2:82" x14ac:dyDescent="0.3">
      <c r="B222"/>
      <c r="I222" s="10">
        <v>0</v>
      </c>
      <c r="J222">
        <v>0</v>
      </c>
      <c r="K222" s="13">
        <f t="shared" si="16"/>
        <v>0</v>
      </c>
      <c r="L222">
        <f t="shared" si="17"/>
        <v>0</v>
      </c>
      <c r="M222">
        <f t="shared" si="18"/>
        <v>0</v>
      </c>
      <c r="N222" s="12">
        <f t="shared" si="19"/>
        <v>0</v>
      </c>
      <c r="Q222" s="20"/>
      <c r="R222" s="10"/>
      <c r="CD222" s="12"/>
    </row>
    <row r="223" spans="2:82" x14ac:dyDescent="0.3">
      <c r="B223"/>
      <c r="I223" s="10">
        <v>0</v>
      </c>
      <c r="J223">
        <v>0</v>
      </c>
      <c r="K223" s="13">
        <f t="shared" si="16"/>
        <v>0</v>
      </c>
      <c r="L223">
        <f t="shared" si="17"/>
        <v>0</v>
      </c>
      <c r="M223">
        <f t="shared" si="18"/>
        <v>0</v>
      </c>
      <c r="N223" s="12">
        <f t="shared" si="19"/>
        <v>0</v>
      </c>
      <c r="Q223" s="20"/>
      <c r="R223" s="10"/>
      <c r="CD223" s="12"/>
    </row>
    <row r="224" spans="2:82" x14ac:dyDescent="0.3">
      <c r="B224"/>
      <c r="I224" s="10">
        <v>0</v>
      </c>
      <c r="J224">
        <v>0</v>
      </c>
      <c r="K224" s="13">
        <f t="shared" si="16"/>
        <v>0</v>
      </c>
      <c r="L224">
        <f t="shared" si="17"/>
        <v>0</v>
      </c>
      <c r="M224">
        <f t="shared" si="18"/>
        <v>0</v>
      </c>
      <c r="N224" s="12">
        <f t="shared" si="19"/>
        <v>0</v>
      </c>
      <c r="Q224" s="20"/>
      <c r="R224" s="10"/>
      <c r="CD224" s="12"/>
    </row>
    <row r="225" spans="2:82" x14ac:dyDescent="0.3">
      <c r="B225"/>
      <c r="I225" s="10">
        <v>0</v>
      </c>
      <c r="J225">
        <v>0</v>
      </c>
      <c r="K225" s="13">
        <f t="shared" si="16"/>
        <v>0</v>
      </c>
      <c r="L225">
        <f t="shared" si="17"/>
        <v>0</v>
      </c>
      <c r="M225">
        <f t="shared" si="18"/>
        <v>0</v>
      </c>
      <c r="N225" s="12">
        <f t="shared" si="19"/>
        <v>0</v>
      </c>
      <c r="Q225" s="20"/>
      <c r="R225" s="10"/>
      <c r="CD225" s="12"/>
    </row>
    <row r="226" spans="2:82" x14ac:dyDescent="0.3">
      <c r="B226"/>
      <c r="I226" s="10">
        <v>0</v>
      </c>
      <c r="J226">
        <v>0</v>
      </c>
      <c r="K226" s="13">
        <f t="shared" si="16"/>
        <v>0</v>
      </c>
      <c r="L226">
        <f t="shared" si="17"/>
        <v>0</v>
      </c>
      <c r="M226">
        <f t="shared" si="18"/>
        <v>0</v>
      </c>
      <c r="N226" s="12">
        <f t="shared" si="19"/>
        <v>0</v>
      </c>
      <c r="Q226" s="20"/>
      <c r="R226" s="10"/>
      <c r="CD226" s="12"/>
    </row>
    <row r="227" spans="2:82" x14ac:dyDescent="0.3">
      <c r="B227"/>
      <c r="I227" s="10">
        <v>0</v>
      </c>
      <c r="J227">
        <v>0</v>
      </c>
      <c r="K227" s="13">
        <f t="shared" si="16"/>
        <v>0</v>
      </c>
      <c r="L227">
        <f t="shared" si="17"/>
        <v>0</v>
      </c>
      <c r="M227">
        <f t="shared" si="18"/>
        <v>0</v>
      </c>
      <c r="N227" s="12">
        <f t="shared" si="19"/>
        <v>0</v>
      </c>
      <c r="Q227" s="20"/>
      <c r="R227" s="10"/>
      <c r="CD227" s="12"/>
    </row>
    <row r="228" spans="2:82" x14ac:dyDescent="0.3">
      <c r="B228"/>
      <c r="I228" s="10">
        <v>0</v>
      </c>
      <c r="J228">
        <v>0</v>
      </c>
      <c r="K228" s="13">
        <f t="shared" si="16"/>
        <v>0</v>
      </c>
      <c r="L228">
        <f t="shared" si="17"/>
        <v>0</v>
      </c>
      <c r="M228">
        <f t="shared" si="18"/>
        <v>0</v>
      </c>
      <c r="N228" s="12">
        <f t="shared" si="19"/>
        <v>0</v>
      </c>
      <c r="Q228" s="20"/>
      <c r="R228" s="10"/>
      <c r="CD228" s="12"/>
    </row>
    <row r="229" spans="2:82" x14ac:dyDescent="0.3">
      <c r="B229"/>
      <c r="I229" s="10">
        <v>0</v>
      </c>
      <c r="J229">
        <v>0</v>
      </c>
      <c r="K229" s="13">
        <f t="shared" si="16"/>
        <v>0</v>
      </c>
      <c r="L229">
        <f t="shared" si="17"/>
        <v>0</v>
      </c>
      <c r="M229">
        <f t="shared" si="18"/>
        <v>0</v>
      </c>
      <c r="N229" s="12">
        <f t="shared" si="19"/>
        <v>0</v>
      </c>
      <c r="Q229" s="20"/>
      <c r="R229" s="10"/>
      <c r="CD229" s="12"/>
    </row>
    <row r="230" spans="2:82" x14ac:dyDescent="0.3">
      <c r="B230"/>
      <c r="I230" s="10">
        <v>0</v>
      </c>
      <c r="J230">
        <v>0</v>
      </c>
      <c r="K230" s="13">
        <f t="shared" si="16"/>
        <v>0</v>
      </c>
      <c r="L230">
        <f t="shared" si="17"/>
        <v>0</v>
      </c>
      <c r="M230">
        <f t="shared" si="18"/>
        <v>0</v>
      </c>
      <c r="N230" s="12">
        <f t="shared" si="19"/>
        <v>0</v>
      </c>
      <c r="Q230" s="20"/>
      <c r="R230" s="10"/>
      <c r="CD230" s="12"/>
    </row>
    <row r="231" spans="2:82" ht="23.1" customHeight="1" x14ac:dyDescent="0.3">
      <c r="B231"/>
      <c r="I231" s="10">
        <v>0</v>
      </c>
      <c r="J231">
        <v>0</v>
      </c>
      <c r="K231" s="13">
        <f t="shared" si="16"/>
        <v>0</v>
      </c>
      <c r="L231">
        <f t="shared" si="17"/>
        <v>0</v>
      </c>
      <c r="M231">
        <f t="shared" si="18"/>
        <v>0</v>
      </c>
      <c r="N231" s="12">
        <f t="shared" si="19"/>
        <v>0</v>
      </c>
      <c r="Q231" s="20"/>
      <c r="R231" s="10"/>
      <c r="CD231" s="12"/>
    </row>
    <row r="232" spans="2:82" ht="23.1" customHeight="1" x14ac:dyDescent="0.3">
      <c r="I232" s="10">
        <v>0</v>
      </c>
      <c r="J232">
        <v>0</v>
      </c>
      <c r="K232" s="13">
        <f t="shared" si="16"/>
        <v>0</v>
      </c>
      <c r="L232">
        <f t="shared" si="17"/>
        <v>0</v>
      </c>
      <c r="M232">
        <f t="shared" si="18"/>
        <v>0</v>
      </c>
      <c r="N232" s="12">
        <f t="shared" si="19"/>
        <v>0</v>
      </c>
      <c r="Q232" s="20"/>
      <c r="R232" s="10"/>
      <c r="CD232" s="12"/>
    </row>
    <row r="233" spans="2:82" ht="23.1" customHeight="1" thickBot="1" x14ac:dyDescent="0.35">
      <c r="I233" s="14">
        <v>0</v>
      </c>
      <c r="J233" s="15">
        <v>0</v>
      </c>
      <c r="K233" s="44">
        <f t="shared" si="16"/>
        <v>0</v>
      </c>
      <c r="L233" s="15">
        <f t="shared" si="17"/>
        <v>0</v>
      </c>
      <c r="M233" s="15">
        <f t="shared" si="18"/>
        <v>0</v>
      </c>
      <c r="N233" s="16">
        <f t="shared" si="19"/>
        <v>0</v>
      </c>
      <c r="Q233" s="20"/>
      <c r="R233" s="10"/>
      <c r="CD233" s="12"/>
    </row>
    <row r="234" spans="2:82" ht="21" customHeight="1" x14ac:dyDescent="0.3">
      <c r="Q234" s="20"/>
      <c r="R234" s="10"/>
      <c r="CD234" s="12"/>
    </row>
    <row r="235" spans="2:82" x14ac:dyDescent="0.3">
      <c r="Q235" s="20"/>
      <c r="R235" s="10"/>
      <c r="CD235" s="12"/>
    </row>
    <row r="236" spans="2:82" x14ac:dyDescent="0.3">
      <c r="I236" s="6" t="s">
        <v>41</v>
      </c>
      <c r="Q236" s="20"/>
      <c r="R236" s="10"/>
      <c r="CD236" s="12"/>
    </row>
    <row r="237" spans="2:82" x14ac:dyDescent="0.3">
      <c r="I237" s="63"/>
      <c r="J237" s="52"/>
      <c r="K237" s="52"/>
      <c r="L237" s="52"/>
      <c r="M237" s="52" t="s">
        <v>55</v>
      </c>
      <c r="N237" s="53">
        <f>SUM(N170:N233)</f>
        <v>0</v>
      </c>
      <c r="Q237" s="20"/>
      <c r="R237" s="10"/>
      <c r="CD237" s="12"/>
    </row>
    <row r="238" spans="2:82" x14ac:dyDescent="0.3">
      <c r="I238" s="64" t="s">
        <v>44</v>
      </c>
      <c r="J238" s="56">
        <f>C192</f>
        <v>144.13</v>
      </c>
      <c r="K238" s="49">
        <f>C193</f>
        <v>2893216</v>
      </c>
      <c r="L238" s="47"/>
      <c r="M238" s="47"/>
      <c r="N238" s="57">
        <f>(K238/50000000)*(J238/23)^3</f>
        <v>14.239361169084255</v>
      </c>
      <c r="Q238" s="20"/>
      <c r="R238" s="10"/>
      <c r="CD238" s="12"/>
    </row>
    <row r="239" spans="2:82" x14ac:dyDescent="0.3">
      <c r="I239" s="65" t="s">
        <v>45</v>
      </c>
      <c r="J239" s="60">
        <f>C201</f>
        <v>0</v>
      </c>
      <c r="K239" s="61">
        <f>C200</f>
        <v>2893216</v>
      </c>
      <c r="L239" s="60"/>
      <c r="M239" s="60"/>
      <c r="N239" s="62">
        <f>(K239/50000000)*(J239/23)^3</f>
        <v>0</v>
      </c>
      <c r="Q239" s="20"/>
      <c r="R239" s="10"/>
      <c r="CD239" s="12"/>
    </row>
    <row r="240" spans="2:82" x14ac:dyDescent="0.3">
      <c r="Q240" s="20"/>
      <c r="R240" s="10"/>
      <c r="CD240" s="12"/>
    </row>
    <row r="241" spans="3:82" ht="15" thickBot="1" x14ac:dyDescent="0.35">
      <c r="Q241" s="20"/>
      <c r="R241" s="14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  <c r="AP241" s="15"/>
      <c r="AQ241" s="15"/>
      <c r="AR241" s="15"/>
      <c r="AS241" s="15"/>
      <c r="AT241" s="15"/>
      <c r="AU241" s="15"/>
      <c r="AV241" s="15"/>
      <c r="AW241" s="15"/>
      <c r="AX241" s="15"/>
      <c r="AY241" s="15"/>
      <c r="AZ241" s="15"/>
      <c r="BA241" s="15"/>
      <c r="BB241" s="15"/>
      <c r="BC241" s="15"/>
      <c r="BD241" s="15"/>
      <c r="BE241" s="15"/>
      <c r="BF241" s="15"/>
      <c r="BG241" s="15"/>
      <c r="BH241" s="15"/>
      <c r="BI241" s="15"/>
      <c r="BJ241" s="15"/>
      <c r="BK241" s="15"/>
      <c r="BL241" s="15"/>
      <c r="BM241" s="15"/>
      <c r="BN241" s="15"/>
      <c r="BO241" s="15"/>
      <c r="BP241" s="15"/>
      <c r="BQ241" s="15"/>
      <c r="BR241" s="15"/>
      <c r="BS241" s="15"/>
      <c r="BT241" s="15"/>
      <c r="BU241" s="15"/>
      <c r="BV241" s="15"/>
      <c r="BW241" s="15"/>
      <c r="BX241" s="15"/>
      <c r="BY241" s="15"/>
      <c r="BZ241" s="15"/>
      <c r="CA241" s="15"/>
      <c r="CB241" s="15"/>
      <c r="CC241" s="15"/>
      <c r="CD241" s="16"/>
    </row>
    <row r="244" spans="3:82" x14ac:dyDescent="0.3"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spans="3:82" x14ac:dyDescent="0.3"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spans="3:82" x14ac:dyDescent="0.3"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spans="3:82" x14ac:dyDescent="0.3"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spans="3:82" x14ac:dyDescent="0.3"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spans="3:82" x14ac:dyDescent="0.3"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spans="3:82" x14ac:dyDescent="0.3"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spans="3:82" x14ac:dyDescent="0.3"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spans="3:82" x14ac:dyDescent="0.3"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spans="3:82" x14ac:dyDescent="0.3"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spans="3:82" x14ac:dyDescent="0.3"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spans="3:82" x14ac:dyDescent="0.3"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spans="3:82" x14ac:dyDescent="0.3"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spans="3:30" x14ac:dyDescent="0.3"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spans="3:30" x14ac:dyDescent="0.3"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spans="3:30" x14ac:dyDescent="0.3"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spans="3:30" x14ac:dyDescent="0.3"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spans="3:30" x14ac:dyDescent="0.3"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spans="3:30" x14ac:dyDescent="0.3"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 spans="3:30" x14ac:dyDescent="0.3"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 spans="3:30" x14ac:dyDescent="0.3"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 spans="3:30" x14ac:dyDescent="0.3"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 spans="3:30" x14ac:dyDescent="0.3"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 spans="3:30" x14ac:dyDescent="0.3"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 spans="3:30" x14ac:dyDescent="0.3"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 spans="3:30" x14ac:dyDescent="0.3"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 spans="3:30" x14ac:dyDescent="0.3"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 spans="3:30" x14ac:dyDescent="0.3"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 spans="3:30" x14ac:dyDescent="0.3"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spans="3:30" x14ac:dyDescent="0.3"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 spans="3:30" x14ac:dyDescent="0.3"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 spans="3:30" x14ac:dyDescent="0.3"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 spans="3:30" x14ac:dyDescent="0.3"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 spans="3:30" x14ac:dyDescent="0.3"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 spans="3:30" x14ac:dyDescent="0.3"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spans="3:30" x14ac:dyDescent="0.3"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spans="3:30" x14ac:dyDescent="0.3"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 spans="3:30" x14ac:dyDescent="0.3"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spans="3:30" x14ac:dyDescent="0.3"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322" spans="3:7" x14ac:dyDescent="0.3">
      <c r="C322" s="1"/>
      <c r="D322" s="1"/>
      <c r="E322" s="1"/>
      <c r="F322" s="1"/>
      <c r="G322" s="1"/>
    </row>
  </sheetData>
  <mergeCells count="2">
    <mergeCell ref="E72:E74"/>
    <mergeCell ref="E153:E155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F98BA-4E08-413B-BB3B-134E01B36E60}">
  <dimension ref="A1"/>
  <sheetViews>
    <sheetView workbookViewId="0">
      <selection activeCell="C9" sqref="C9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BI.11.7k.RC01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Cox</dc:creator>
  <cp:lastModifiedBy>Matthew Cox</cp:lastModifiedBy>
  <dcterms:created xsi:type="dcterms:W3CDTF">2025-11-11T02:50:56Z</dcterms:created>
  <dcterms:modified xsi:type="dcterms:W3CDTF">2025-12-02T04:51:45Z</dcterms:modified>
</cp:coreProperties>
</file>